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showInkAnnotation="0"/>
  <mc:AlternateContent xmlns:mc="http://schemas.openxmlformats.org/markup-compatibility/2006">
    <mc:Choice Requires="x15">
      <x15ac:absPath xmlns:x15ac="http://schemas.microsoft.com/office/spreadsheetml/2010/11/ac" url="/Volumes/Untitled/Price List &amp; Offers/2. Digital/"/>
    </mc:Choice>
  </mc:AlternateContent>
  <xr:revisionPtr revIDLastSave="0" documentId="13_ncr:1_{80664EF8-15CD-3448-AB87-CAEFAA39A5A9}" xr6:coauthVersionLast="47" xr6:coauthVersionMax="47" xr10:uidLastSave="{00000000-0000-0000-0000-000000000000}"/>
  <bookViews>
    <workbookView xWindow="0" yWindow="500" windowWidth="23260" windowHeight="12460" tabRatio="779" xr2:uid="{00000000-000D-0000-FFFF-FFFF00000000}"/>
  </bookViews>
  <sheets>
    <sheet name="C Series_PH 600 dpi " sheetId="17" r:id="rId1"/>
    <sheet name="C Series_PH 1200 dpi " sheetId="24" r:id="rId2"/>
    <sheet name="L&amp;P Series PH 600 dpi" sheetId="14" r:id="rId3"/>
    <sheet name="L&amp;P Series PH 1200 dpi" sheetId="11" r:id="rId4"/>
    <sheet name="1 Extra Colour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4" l="1"/>
  <c r="D25" i="14"/>
  <c r="E5" i="24"/>
  <c r="B6" i="24"/>
  <c r="C10" i="24" s="1"/>
  <c r="D10" i="24" s="1"/>
  <c r="B7" i="24"/>
  <c r="B10" i="24" s="1"/>
  <c r="B11" i="24" s="1"/>
  <c r="B9" i="24"/>
  <c r="D9" i="24"/>
  <c r="E9" i="24" s="1"/>
  <c r="D11" i="24"/>
  <c r="E11" i="24" s="1"/>
  <c r="D13" i="24"/>
  <c r="E13" i="24"/>
  <c r="D14" i="24"/>
  <c r="E14" i="24"/>
  <c r="D15" i="24"/>
  <c r="E15" i="24"/>
  <c r="D16" i="24"/>
  <c r="E16" i="24" s="1"/>
  <c r="D17" i="24"/>
  <c r="E17" i="24"/>
  <c r="D18" i="24"/>
  <c r="E18" i="24"/>
  <c r="D19" i="24"/>
  <c r="E19" i="24"/>
  <c r="D20" i="24"/>
  <c r="E20" i="24" s="1"/>
  <c r="D21" i="24"/>
  <c r="E21" i="24"/>
  <c r="D22" i="24"/>
  <c r="E22" i="24"/>
  <c r="A38" i="24"/>
  <c r="A39" i="24"/>
  <c r="E12" i="24" l="1"/>
  <c r="E23" i="24" s="1"/>
  <c r="E24" i="24" s="1"/>
  <c r="E10" i="24"/>
  <c r="D30" i="24"/>
  <c r="B6" i="14"/>
  <c r="B6" i="17"/>
  <c r="C10" i="17" s="1"/>
  <c r="D10" i="17" s="1"/>
  <c r="H6" i="17"/>
  <c r="M17" i="19"/>
  <c r="M18" i="19"/>
  <c r="E17" i="19"/>
  <c r="E12" i="19"/>
  <c r="E16" i="19"/>
  <c r="J15" i="19"/>
  <c r="K15" i="19" s="1"/>
  <c r="D15" i="19"/>
  <c r="E15" i="19" s="1"/>
  <c r="D14" i="19"/>
  <c r="E14" i="19" s="1"/>
  <c r="J13" i="19"/>
  <c r="K13" i="19" s="1"/>
  <c r="D13" i="19"/>
  <c r="E13" i="19" s="1"/>
  <c r="J11" i="19"/>
  <c r="D11" i="19"/>
  <c r="B11" i="19"/>
  <c r="J9" i="19"/>
  <c r="H9" i="19"/>
  <c r="D9" i="19"/>
  <c r="B9" i="19"/>
  <c r="H7" i="19"/>
  <c r="H10" i="19" s="1"/>
  <c r="H11" i="19" s="1"/>
  <c r="B7" i="19"/>
  <c r="B10" i="19" s="1"/>
  <c r="H6" i="19"/>
  <c r="I10" i="19" s="1"/>
  <c r="J10" i="19" s="1"/>
  <c r="B6" i="19"/>
  <c r="C10" i="19" s="1"/>
  <c r="D10" i="19" s="1"/>
  <c r="B6" i="11"/>
  <c r="H11" i="17"/>
  <c r="H9" i="17"/>
  <c r="H7" i="17"/>
  <c r="H10" i="17" s="1"/>
  <c r="AB22" i="17"/>
  <c r="AC22" i="17" s="1"/>
  <c r="V22" i="17"/>
  <c r="W22" i="17" s="1"/>
  <c r="P22" i="17"/>
  <c r="Q22" i="17" s="1"/>
  <c r="J22" i="17"/>
  <c r="K22" i="17" s="1"/>
  <c r="D22" i="17"/>
  <c r="E22" i="17" s="1"/>
  <c r="P21" i="17"/>
  <c r="Q21" i="17" s="1"/>
  <c r="J21" i="17"/>
  <c r="K21" i="17" s="1"/>
  <c r="D21" i="17"/>
  <c r="E21" i="17" s="1"/>
  <c r="AB20" i="17"/>
  <c r="AC20" i="17" s="1"/>
  <c r="V20" i="17"/>
  <c r="W20" i="17" s="1"/>
  <c r="P20" i="17"/>
  <c r="Q20" i="17" s="1"/>
  <c r="J20" i="17"/>
  <c r="K20" i="17" s="1"/>
  <c r="D20" i="17"/>
  <c r="E20" i="17" s="1"/>
  <c r="AB19" i="17"/>
  <c r="AC19" i="17" s="1"/>
  <c r="V19" i="17"/>
  <c r="W19" i="17" s="1"/>
  <c r="P19" i="17"/>
  <c r="Q19" i="17" s="1"/>
  <c r="J19" i="17"/>
  <c r="K19" i="17" s="1"/>
  <c r="D19" i="17"/>
  <c r="E19" i="17" s="1"/>
  <c r="AB18" i="17"/>
  <c r="AC18" i="17" s="1"/>
  <c r="V18" i="17"/>
  <c r="W18" i="17" s="1"/>
  <c r="P18" i="17"/>
  <c r="Q18" i="17" s="1"/>
  <c r="J18" i="17"/>
  <c r="K18" i="17" s="1"/>
  <c r="D18" i="17"/>
  <c r="E18" i="17" s="1"/>
  <c r="AB17" i="17"/>
  <c r="AC17" i="17" s="1"/>
  <c r="V17" i="17"/>
  <c r="W17" i="17" s="1"/>
  <c r="P17" i="17"/>
  <c r="Q17" i="17" s="1"/>
  <c r="J17" i="17"/>
  <c r="K17" i="17" s="1"/>
  <c r="D17" i="17"/>
  <c r="E17" i="17" s="1"/>
  <c r="AB16" i="17"/>
  <c r="AC16" i="17" s="1"/>
  <c r="V16" i="17"/>
  <c r="W16" i="17" s="1"/>
  <c r="P16" i="17"/>
  <c r="Q16" i="17" s="1"/>
  <c r="J16" i="17"/>
  <c r="K16" i="17" s="1"/>
  <c r="D16" i="17"/>
  <c r="E16" i="17" s="1"/>
  <c r="AB15" i="17"/>
  <c r="AC15" i="17" s="1"/>
  <c r="V15" i="17"/>
  <c r="W15" i="17" s="1"/>
  <c r="P15" i="17"/>
  <c r="Q15" i="17" s="1"/>
  <c r="J15" i="17"/>
  <c r="K15" i="17" s="1"/>
  <c r="D15" i="17"/>
  <c r="E15" i="17" s="1"/>
  <c r="AB14" i="17"/>
  <c r="AC14" i="17" s="1"/>
  <c r="V14" i="17"/>
  <c r="W14" i="17" s="1"/>
  <c r="P14" i="17"/>
  <c r="Q14" i="17" s="1"/>
  <c r="J14" i="17"/>
  <c r="K14" i="17" s="1"/>
  <c r="D14" i="17"/>
  <c r="E14" i="17" s="1"/>
  <c r="AB13" i="17"/>
  <c r="AC13" i="17" s="1"/>
  <c r="V13" i="17"/>
  <c r="W13" i="17" s="1"/>
  <c r="P13" i="17"/>
  <c r="Q13" i="17" s="1"/>
  <c r="J13" i="17"/>
  <c r="K13" i="17" s="1"/>
  <c r="D13" i="17"/>
  <c r="E13" i="17" s="1"/>
  <c r="AB11" i="17"/>
  <c r="V11" i="17"/>
  <c r="T11" i="17"/>
  <c r="P11" i="17"/>
  <c r="J11" i="17"/>
  <c r="D11" i="17"/>
  <c r="B11" i="17"/>
  <c r="AA10" i="17"/>
  <c r="AB10" i="17" s="1"/>
  <c r="U10" i="17"/>
  <c r="V10" i="17" s="1"/>
  <c r="O10" i="17"/>
  <c r="P10" i="17" s="1"/>
  <c r="AB9" i="17"/>
  <c r="Z9" i="17"/>
  <c r="V9" i="17"/>
  <c r="T9" i="17"/>
  <c r="P9" i="17"/>
  <c r="N9" i="17"/>
  <c r="J9" i="17"/>
  <c r="D9" i="17"/>
  <c r="B9" i="17"/>
  <c r="Z7" i="17"/>
  <c r="Z10" i="17" s="1"/>
  <c r="Z11" i="17" s="1"/>
  <c r="T7" i="17"/>
  <c r="T10" i="17" s="1"/>
  <c r="N7" i="17"/>
  <c r="N10" i="17" s="1"/>
  <c r="N11" i="17" s="1"/>
  <c r="B7" i="17"/>
  <c r="B10" i="17" s="1"/>
  <c r="I10" i="17"/>
  <c r="J10" i="17" s="1"/>
  <c r="W5" i="17"/>
  <c r="K5" i="17"/>
  <c r="E5" i="17"/>
  <c r="E25" i="24" l="1"/>
  <c r="E27" i="24"/>
  <c r="B38" i="24"/>
  <c r="M19" i="19"/>
  <c r="E10" i="19"/>
  <c r="K10" i="19"/>
  <c r="E11" i="19"/>
  <c r="E9" i="19"/>
  <c r="K9" i="19"/>
  <c r="K11" i="19"/>
  <c r="W11" i="17"/>
  <c r="Q9" i="17"/>
  <c r="W9" i="17"/>
  <c r="Q11" i="17"/>
  <c r="AC9" i="17"/>
  <c r="K11" i="17"/>
  <c r="W10" i="17"/>
  <c r="Q10" i="17"/>
  <c r="E9" i="17"/>
  <c r="E11" i="17"/>
  <c r="K9" i="17"/>
  <c r="AC10" i="17"/>
  <c r="AC11" i="17"/>
  <c r="E10" i="17"/>
  <c r="K10" i="17"/>
  <c r="D21" i="14"/>
  <c r="E21" i="14" s="1"/>
  <c r="B11" i="14"/>
  <c r="C10" i="14"/>
  <c r="D10" i="14" s="1"/>
  <c r="K27" i="14"/>
  <c r="J27" i="14"/>
  <c r="D27" i="14"/>
  <c r="E27" i="14" s="1"/>
  <c r="E26" i="14"/>
  <c r="D26" i="14"/>
  <c r="E24" i="14"/>
  <c r="D24" i="14"/>
  <c r="J23" i="14"/>
  <c r="K23" i="14" s="1"/>
  <c r="D23" i="14"/>
  <c r="E23" i="14" s="1"/>
  <c r="D22" i="14"/>
  <c r="E22" i="14" s="1"/>
  <c r="J20" i="14"/>
  <c r="K20" i="14" s="1"/>
  <c r="C20" i="14"/>
  <c r="D20" i="14" s="1"/>
  <c r="E20" i="14" s="1"/>
  <c r="D19" i="14"/>
  <c r="E19" i="14" s="1"/>
  <c r="J18" i="14"/>
  <c r="K18" i="14" s="1"/>
  <c r="D18" i="14"/>
  <c r="E18" i="14" s="1"/>
  <c r="J17" i="14"/>
  <c r="K17" i="14" s="1"/>
  <c r="D17" i="14"/>
  <c r="E17" i="14" s="1"/>
  <c r="D16" i="14"/>
  <c r="E16" i="14" s="1"/>
  <c r="J15" i="14"/>
  <c r="K15" i="14" s="1"/>
  <c r="D15" i="14"/>
  <c r="E15" i="14" s="1"/>
  <c r="J14" i="14"/>
  <c r="K14" i="14" s="1"/>
  <c r="D14" i="14"/>
  <c r="E14" i="14" s="1"/>
  <c r="J13" i="14"/>
  <c r="K13" i="14" s="1"/>
  <c r="C13" i="14"/>
  <c r="D13" i="14" s="1"/>
  <c r="E13" i="14" s="1"/>
  <c r="J11" i="14"/>
  <c r="D11" i="14"/>
  <c r="J9" i="14"/>
  <c r="H9" i="14"/>
  <c r="K9" i="14" s="1"/>
  <c r="D9" i="14"/>
  <c r="B9" i="14"/>
  <c r="H7" i="14"/>
  <c r="H10" i="14" s="1"/>
  <c r="H11" i="14" s="1"/>
  <c r="B7" i="14"/>
  <c r="B10" i="14" s="1"/>
  <c r="H6" i="14"/>
  <c r="I10" i="14" s="1"/>
  <c r="J10" i="14" s="1"/>
  <c r="B39" i="24" l="1"/>
  <c r="E32" i="24"/>
  <c r="K12" i="19"/>
  <c r="K16" i="19" s="1"/>
  <c r="K17" i="19" s="1"/>
  <c r="K18" i="19" s="1"/>
  <c r="W12" i="17"/>
  <c r="W23" i="17" s="1"/>
  <c r="W24" i="17" s="1"/>
  <c r="W25" i="17" s="1"/>
  <c r="Q12" i="17"/>
  <c r="Q23" i="17" s="1"/>
  <c r="Q24" i="17" s="1"/>
  <c r="Q25" i="17" s="1"/>
  <c r="E12" i="17"/>
  <c r="E23" i="17" s="1"/>
  <c r="E24" i="17" s="1"/>
  <c r="AC12" i="17"/>
  <c r="AC23" i="17" s="1"/>
  <c r="AC24" i="17" s="1"/>
  <c r="AC25" i="17" s="1"/>
  <c r="K12" i="17"/>
  <c r="K23" i="17" s="1"/>
  <c r="K24" i="17" s="1"/>
  <c r="K25" i="17" s="1"/>
  <c r="E9" i="14"/>
  <c r="K10" i="14"/>
  <c r="E10" i="14"/>
  <c r="E11" i="14"/>
  <c r="K11" i="14"/>
  <c r="E18" i="19" l="1"/>
  <c r="E25" i="17"/>
  <c r="E12" i="14"/>
  <c r="E28" i="14" s="1"/>
  <c r="E29" i="14" s="1"/>
  <c r="E30" i="14" s="1"/>
  <c r="K12" i="14"/>
  <c r="K28" i="14" s="1"/>
  <c r="K29" i="14" s="1"/>
  <c r="K30" i="14" s="1"/>
  <c r="C10" i="11" l="1"/>
  <c r="D10" i="11" s="1"/>
  <c r="E24" i="11"/>
  <c r="D24" i="11"/>
  <c r="D21" i="11"/>
  <c r="E21" i="11" s="1"/>
  <c r="D22" i="11"/>
  <c r="E22" i="11" s="1"/>
  <c r="C20" i="11"/>
  <c r="D20" i="11" s="1"/>
  <c r="E20" i="11" s="1"/>
  <c r="D19" i="11"/>
  <c r="E19" i="11" s="1"/>
  <c r="J27" i="11"/>
  <c r="K27" i="11" s="1"/>
  <c r="D26" i="11"/>
  <c r="E26" i="11" s="1"/>
  <c r="E25" i="11"/>
  <c r="D25" i="11"/>
  <c r="J24" i="11"/>
  <c r="K24" i="11" s="1"/>
  <c r="D23" i="11"/>
  <c r="E23" i="11" s="1"/>
  <c r="J21" i="11"/>
  <c r="K21" i="11" s="1"/>
  <c r="J19" i="11"/>
  <c r="K19" i="11" s="1"/>
  <c r="D18" i="11"/>
  <c r="E18" i="11" s="1"/>
  <c r="J18" i="11"/>
  <c r="K18" i="11" s="1"/>
  <c r="D17" i="11"/>
  <c r="E17" i="11" s="1"/>
  <c r="D16" i="11"/>
  <c r="E16" i="11" s="1"/>
  <c r="J15" i="11"/>
  <c r="K15" i="11" s="1"/>
  <c r="D15" i="11"/>
  <c r="E15" i="11" s="1"/>
  <c r="J14" i="11"/>
  <c r="K14" i="11" s="1"/>
  <c r="D14" i="11"/>
  <c r="E14" i="11" s="1"/>
  <c r="J13" i="11"/>
  <c r="K13" i="11" s="1"/>
  <c r="C13" i="11"/>
  <c r="D13" i="11" s="1"/>
  <c r="E13" i="11" s="1"/>
  <c r="J11" i="11"/>
  <c r="D11" i="11"/>
  <c r="J9" i="11"/>
  <c r="H9" i="11"/>
  <c r="D9" i="11"/>
  <c r="B9" i="11"/>
  <c r="H7" i="11"/>
  <c r="H10" i="11" s="1"/>
  <c r="H11" i="11" s="1"/>
  <c r="B7" i="11"/>
  <c r="B10" i="11" s="1"/>
  <c r="B11" i="11" s="1"/>
  <c r="H6" i="11"/>
  <c r="I10" i="11" s="1"/>
  <c r="J10" i="11" s="1"/>
  <c r="E11" i="11" l="1"/>
  <c r="E9" i="11"/>
  <c r="E10" i="11"/>
  <c r="K9" i="11"/>
  <c r="K11" i="11"/>
  <c r="K10" i="11"/>
  <c r="E12" i="11" l="1"/>
  <c r="E27" i="11" s="1"/>
  <c r="E28" i="11" s="1"/>
  <c r="K12" i="11"/>
  <c r="K28" i="11" s="1"/>
  <c r="K29" i="11" s="1"/>
  <c r="K30" i="11" s="1"/>
  <c r="E29" i="11" l="1"/>
</calcChain>
</file>

<file path=xl/sharedStrings.xml><?xml version="1.0" encoding="utf-8"?>
<sst xmlns="http://schemas.openxmlformats.org/spreadsheetml/2006/main" count="311" uniqueCount="54">
  <si>
    <t>Kyocera Katana (speed 75 mtr/min)</t>
  </si>
  <si>
    <t>Epson D Series RC (speed 80 mtr/min)</t>
  </si>
  <si>
    <t>Epson S Series (speed  mtr/min)</t>
  </si>
  <si>
    <t>Head price</t>
  </si>
  <si>
    <t>Tot heads required</t>
  </si>
  <si>
    <t>IDS</t>
  </si>
  <si>
    <t>Tot head cost</t>
  </si>
  <si>
    <t>Tot Elec cost</t>
  </si>
  <si>
    <t>Total</t>
  </si>
  <si>
    <t>Calculation for L&amp;P Series (Only inkjet part) [Excluding overheads]</t>
  </si>
  <si>
    <t xml:space="preserve">Web Transport with Automation </t>
  </si>
  <si>
    <t>Unwind Unit</t>
  </si>
  <si>
    <t xml:space="preserve">Installation+ Training </t>
  </si>
  <si>
    <t>RIP + Server+Imp s/w</t>
  </si>
  <si>
    <t>Sheeter</t>
  </si>
  <si>
    <t>Print Width:</t>
  </si>
  <si>
    <t>Duplex/ Simplex</t>
  </si>
  <si>
    <t>No. of Col.</t>
  </si>
  <si>
    <t xml:space="preserve">Quantity </t>
  </si>
  <si>
    <t>Particulars</t>
  </si>
  <si>
    <t xml:space="preserve">Unit Price </t>
  </si>
  <si>
    <t>Actual</t>
  </si>
  <si>
    <t>Total Cost</t>
  </si>
  <si>
    <t>Rewind Unit</t>
  </si>
  <si>
    <t xml:space="preserve">Extra for col machine </t>
  </si>
  <si>
    <t>IR Drying</t>
  </si>
  <si>
    <t>Offline coater for coated paper</t>
  </si>
  <si>
    <t>Total cost</t>
  </si>
  <si>
    <t>GM price</t>
  </si>
  <si>
    <t>Partner/General Cost</t>
  </si>
  <si>
    <t>Calculation for C-Series (Only inkjet part) [Excluding overheads]  600x600 dpi</t>
  </si>
  <si>
    <t>UV Curing</t>
  </si>
  <si>
    <t>Kyocera RC (speed 100 mtr/min) Width:</t>
  </si>
  <si>
    <t>Kyocera Katana (speed 75 mtr/min) Width:</t>
  </si>
  <si>
    <t>Printing Unit</t>
  </si>
  <si>
    <t xml:space="preserve">Extra for Wide Web </t>
  </si>
  <si>
    <t>Coating + Drying</t>
  </si>
  <si>
    <t>RIP + Server + Imp Software</t>
  </si>
  <si>
    <t>Installation</t>
  </si>
  <si>
    <t>Pinning</t>
  </si>
  <si>
    <t>Slitting Unit</t>
  </si>
  <si>
    <t>Chiller Roller</t>
  </si>
  <si>
    <t xml:space="preserve">Kyocera RC_600x600dpi (speed 100 mtr/min) </t>
  </si>
  <si>
    <t>R2S_Print Width 432MM_4 Col</t>
  </si>
  <si>
    <t>Epson I Series(speed 75 mtr/min) Width:</t>
  </si>
  <si>
    <t>Registered Flexo + Drying</t>
  </si>
  <si>
    <t>Die Cutting</t>
  </si>
  <si>
    <t xml:space="preserve">Cold Foil attachment </t>
  </si>
  <si>
    <t>Unregistered/Coating + Drying</t>
  </si>
  <si>
    <t>Miscellaneous</t>
  </si>
  <si>
    <t>C,M,Y</t>
  </si>
  <si>
    <t>K</t>
  </si>
  <si>
    <t>O,G,V</t>
  </si>
  <si>
    <t>Sheeter Gilotin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</si>
</sst>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₹-4009]#,##0.00"/>
    <numFmt numFmtId="166" formatCode="_ [$₹-439]* #,##0.00_ ;_ [$₹-439]* \-#,##0.00_ ;_ [$₹-439]* &quot;-&quot;??_ ;_ @_ "/>
    <numFmt numFmtId="167" formatCode="[$₹-4009]\ #,##0.00"/>
    <numFmt numFmtId="168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FFFF00"/>
      <name val="Aptos Narrow"/>
      <family val="2"/>
      <scheme val="minor"/>
    </font>
    <font>
      <sz val="9.5"/>
      <color theme="1"/>
      <name val="Aptos Narrow"/>
      <family val="2"/>
      <scheme val="minor"/>
    </font>
    <font>
      <sz val="9.5"/>
      <color rgb="FFFFFF00"/>
      <name val="Aptos Narrow"/>
      <family val="2"/>
      <scheme val="minor"/>
    </font>
    <font>
      <b/>
      <sz val="9.5"/>
      <color rgb="FFFF0000"/>
      <name val="Aptos Narrow"/>
      <family val="2"/>
      <scheme val="minor"/>
    </font>
    <font>
      <b/>
      <sz val="9.5"/>
      <color theme="0"/>
      <name val="Aptos Narrow"/>
      <family val="2"/>
      <scheme val="minor"/>
    </font>
    <font>
      <b/>
      <sz val="9.5"/>
      <color theme="1"/>
      <name val="Aptos Narrow"/>
      <family val="2"/>
      <scheme val="minor"/>
    </font>
    <font>
      <i/>
      <sz val="9.5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165" fontId="1" fillId="0" borderId="0" xfId="0" applyNumberFormat="1" applyFont="1"/>
    <xf numFmtId="0" fontId="3" fillId="0" borderId="0" xfId="0" applyFont="1"/>
    <xf numFmtId="0" fontId="4" fillId="2" borderId="0" xfId="0" applyFont="1" applyFill="1"/>
    <xf numFmtId="165" fontId="4" fillId="2" borderId="0" xfId="0" applyNumberFormat="1" applyFont="1" applyFill="1"/>
    <xf numFmtId="0" fontId="5" fillId="0" borderId="0" xfId="0" applyFont="1"/>
    <xf numFmtId="165" fontId="4" fillId="0" borderId="0" xfId="0" applyNumberFormat="1" applyFont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8" fillId="0" borderId="4" xfId="0" applyFont="1" applyBorder="1" applyAlignment="1">
      <alignment horizontal="center"/>
    </xf>
    <xf numFmtId="0" fontId="4" fillId="4" borderId="0" xfId="0" applyFont="1" applyFill="1"/>
    <xf numFmtId="2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/>
    <xf numFmtId="165" fontId="8" fillId="4" borderId="0" xfId="0" applyNumberFormat="1" applyFont="1" applyFill="1"/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165" fontId="8" fillId="3" borderId="2" xfId="0" applyNumberFormat="1" applyFont="1" applyFill="1" applyBorder="1"/>
    <xf numFmtId="2" fontId="4" fillId="0" borderId="0" xfId="0" applyNumberFormat="1" applyFont="1" applyAlignment="1">
      <alignment horizontal="center"/>
    </xf>
    <xf numFmtId="166" fontId="4" fillId="0" borderId="0" xfId="0" applyNumberFormat="1" applyFont="1"/>
    <xf numFmtId="165" fontId="4" fillId="0" borderId="2" xfId="0" applyNumberFormat="1" applyFont="1" applyBorder="1"/>
    <xf numFmtId="0" fontId="8" fillId="3" borderId="3" xfId="0" applyFont="1" applyFill="1" applyBorder="1"/>
    <xf numFmtId="9" fontId="8" fillId="3" borderId="3" xfId="0" applyNumberFormat="1" applyFont="1" applyFill="1" applyBorder="1" applyAlignment="1">
      <alignment horizontal="center"/>
    </xf>
    <xf numFmtId="165" fontId="8" fillId="3" borderId="3" xfId="0" applyNumberFormat="1" applyFont="1" applyFill="1" applyBorder="1"/>
    <xf numFmtId="0" fontId="8" fillId="3" borderId="4" xfId="0" applyFont="1" applyFill="1" applyBorder="1"/>
    <xf numFmtId="9" fontId="8" fillId="3" borderId="4" xfId="0" applyNumberFormat="1" applyFont="1" applyFill="1" applyBorder="1" applyAlignment="1">
      <alignment horizontal="center"/>
    </xf>
    <xf numFmtId="165" fontId="8" fillId="3" borderId="4" xfId="0" applyNumberFormat="1" applyFont="1" applyFill="1" applyBorder="1"/>
    <xf numFmtId="0" fontId="9" fillId="0" borderId="1" xfId="0" applyFont="1" applyBorder="1" applyAlignment="1">
      <alignment horizontal="center"/>
    </xf>
    <xf numFmtId="0" fontId="8" fillId="2" borderId="0" xfId="0" applyFont="1" applyFill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7" fontId="1" fillId="0" borderId="0" xfId="0" applyNumberFormat="1" applyFont="1"/>
    <xf numFmtId="168" fontId="4" fillId="0" borderId="0" xfId="0" applyNumberFormat="1" applyFont="1"/>
    <xf numFmtId="0" fontId="7" fillId="5" borderId="4" xfId="0" applyFont="1" applyFill="1" applyBorder="1"/>
    <xf numFmtId="0" fontId="7" fillId="5" borderId="4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9" fontId="1" fillId="0" borderId="0" xfId="0" applyNumberFormat="1" applyFont="1"/>
    <xf numFmtId="164" fontId="1" fillId="0" borderId="0" xfId="1" applyFont="1"/>
    <xf numFmtId="164" fontId="4" fillId="0" borderId="0" xfId="1" applyFont="1"/>
    <xf numFmtId="2" fontId="4" fillId="0" borderId="4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7" fillId="5" borderId="2" xfId="0" applyFont="1" applyFill="1" applyBorder="1" applyAlignment="1">
      <alignment horizontal="right"/>
    </xf>
    <xf numFmtId="0" fontId="7" fillId="5" borderId="0" xfId="0" applyFont="1" applyFill="1" applyAlignment="1">
      <alignment horizontal="center"/>
    </xf>
    <xf numFmtId="165" fontId="4" fillId="0" borderId="3" xfId="0" applyNumberFormat="1" applyFont="1" applyBorder="1" applyAlignment="1">
      <alignment horizontal="left"/>
    </xf>
    <xf numFmtId="0" fontId="7" fillId="5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10DA-D4F1-41A8-B9BC-026B3C6BD139}">
  <dimension ref="A1:AC57"/>
  <sheetViews>
    <sheetView tabSelected="1" zoomScale="110" zoomScaleNormal="110" zoomScaleSheetLayoutView="100" workbookViewId="0">
      <selection activeCell="D13" sqref="D13"/>
    </sheetView>
  </sheetViews>
  <sheetFormatPr baseColWidth="10" defaultColWidth="8.5" defaultRowHeight="14" x14ac:dyDescent="0.2"/>
  <cols>
    <col min="1" max="1" width="20.83203125" style="11" customWidth="1"/>
    <col min="2" max="2" width="12.6640625" style="11" customWidth="1"/>
    <col min="3" max="3" width="13.5" style="10" customWidth="1"/>
    <col min="4" max="4" width="13.5" style="11" customWidth="1"/>
    <col min="5" max="5" width="13.5" style="10" customWidth="1"/>
    <col min="6" max="6" width="6.6640625" style="11" customWidth="1"/>
    <col min="7" max="7" width="25.1640625" style="10" customWidth="1"/>
    <col min="8" max="8" width="12.6640625" style="11" customWidth="1"/>
    <col min="9" max="9" width="13.5" style="10" customWidth="1"/>
    <col min="10" max="11" width="13.5" style="11" customWidth="1"/>
    <col min="12" max="12" width="6.6640625" style="11" customWidth="1"/>
    <col min="13" max="13" width="25.1640625" style="11" customWidth="1"/>
    <col min="14" max="14" width="12.6640625" style="11" customWidth="1"/>
    <col min="15" max="17" width="13.5" style="11" customWidth="1"/>
    <col min="18" max="18" width="6.6640625" style="11" customWidth="1"/>
    <col min="19" max="19" width="25.1640625" style="11" customWidth="1"/>
    <col min="20" max="20" width="12.6640625" style="11" customWidth="1"/>
    <col min="21" max="23" width="13.5" style="11" customWidth="1"/>
    <col min="24" max="24" width="6.6640625" style="11" customWidth="1"/>
    <col min="25" max="25" width="25.1640625" style="11" customWidth="1"/>
    <col min="26" max="26" width="12.6640625" style="11" customWidth="1"/>
    <col min="27" max="29" width="13.5" style="11" customWidth="1"/>
    <col min="30" max="16384" width="8.5" style="11"/>
  </cols>
  <sheetData>
    <row r="1" spans="1:29" x14ac:dyDescent="0.2">
      <c r="A1" s="33" t="s">
        <v>30</v>
      </c>
      <c r="B1" s="7"/>
      <c r="C1" s="8"/>
      <c r="D1" s="9"/>
      <c r="G1" s="24"/>
    </row>
    <row r="2" spans="1:29" x14ac:dyDescent="0.2">
      <c r="A2" s="32" t="s">
        <v>15</v>
      </c>
      <c r="B2" s="12">
        <v>648</v>
      </c>
      <c r="D2" s="9"/>
    </row>
    <row r="3" spans="1:29" x14ac:dyDescent="0.2">
      <c r="A3" s="32" t="s">
        <v>16</v>
      </c>
      <c r="B3" s="12">
        <v>2</v>
      </c>
      <c r="D3" s="9"/>
    </row>
    <row r="4" spans="1:29" x14ac:dyDescent="0.2">
      <c r="A4" s="32" t="s">
        <v>17</v>
      </c>
      <c r="B4" s="12">
        <v>4</v>
      </c>
    </row>
    <row r="5" spans="1:29" x14ac:dyDescent="0.2">
      <c r="A5" s="46" t="s">
        <v>32</v>
      </c>
      <c r="B5" s="46"/>
      <c r="C5" s="38"/>
      <c r="D5" s="38"/>
      <c r="E5" s="39">
        <f>((ROUNDDOWN((B2/108),0)))*108</f>
        <v>648</v>
      </c>
      <c r="G5" s="46" t="s">
        <v>33</v>
      </c>
      <c r="H5" s="46"/>
      <c r="I5" s="38"/>
      <c r="J5" s="38"/>
      <c r="K5" s="39">
        <f>((ROUNDDOWN((B2/108),0)))*108</f>
        <v>648</v>
      </c>
      <c r="M5" s="49" t="s">
        <v>1</v>
      </c>
      <c r="N5" s="49"/>
      <c r="O5" s="49"/>
      <c r="P5" s="49"/>
      <c r="Q5" s="40">
        <v>857</v>
      </c>
      <c r="S5" s="46" t="s">
        <v>44</v>
      </c>
      <c r="T5" s="46"/>
      <c r="U5" s="38"/>
      <c r="V5" s="38"/>
      <c r="W5" s="39">
        <f>((ROUNDUP((B2/33.8),0)))*33.8</f>
        <v>676</v>
      </c>
      <c r="Y5" s="47" t="s">
        <v>2</v>
      </c>
      <c r="Z5" s="47"/>
      <c r="AA5" s="47"/>
      <c r="AB5" s="47"/>
      <c r="AC5" s="47"/>
    </row>
    <row r="6" spans="1:29" x14ac:dyDescent="0.2">
      <c r="A6" s="13" t="s">
        <v>3</v>
      </c>
      <c r="B6" s="48">
        <f>3200*90</f>
        <v>288000</v>
      </c>
      <c r="C6" s="48"/>
      <c r="D6" s="48"/>
      <c r="E6" s="48"/>
      <c r="G6" s="13" t="s">
        <v>3</v>
      </c>
      <c r="H6" s="48">
        <f>2700*86</f>
        <v>232200</v>
      </c>
      <c r="I6" s="48"/>
      <c r="J6" s="48"/>
      <c r="K6" s="48"/>
      <c r="M6" s="13" t="s">
        <v>3</v>
      </c>
      <c r="N6" s="48">
        <v>150000</v>
      </c>
      <c r="O6" s="48"/>
      <c r="P6" s="48"/>
      <c r="Q6" s="48"/>
      <c r="S6" s="13" t="s">
        <v>3</v>
      </c>
      <c r="T6" s="48">
        <v>57000</v>
      </c>
      <c r="U6" s="48"/>
      <c r="V6" s="48"/>
      <c r="W6" s="48"/>
      <c r="Y6" s="13" t="s">
        <v>3</v>
      </c>
      <c r="Z6" s="48">
        <v>198000</v>
      </c>
      <c r="AA6" s="48"/>
      <c r="AB6" s="48"/>
      <c r="AC6" s="48"/>
    </row>
    <row r="7" spans="1:29" x14ac:dyDescent="0.2">
      <c r="A7" s="14" t="s">
        <v>4</v>
      </c>
      <c r="B7" s="44">
        <f>((ROUNDUP((B2/108),0))*B4)*B3</f>
        <v>48</v>
      </c>
      <c r="C7" s="44"/>
      <c r="D7" s="44"/>
      <c r="E7" s="44"/>
      <c r="G7" s="14" t="s">
        <v>4</v>
      </c>
      <c r="H7" s="44">
        <f>((ROUNDDOWN((B2/108),0))*B4)</f>
        <v>24</v>
      </c>
      <c r="I7" s="44"/>
      <c r="J7" s="44"/>
      <c r="K7" s="44"/>
      <c r="M7" s="14" t="s">
        <v>4</v>
      </c>
      <c r="N7" s="44">
        <f>((ROUNDDOWN((B2/61.2),0))*2)*B3</f>
        <v>40</v>
      </c>
      <c r="O7" s="44"/>
      <c r="P7" s="44"/>
      <c r="Q7" s="44"/>
      <c r="S7" s="14" t="s">
        <v>4</v>
      </c>
      <c r="T7" s="44">
        <f>((ROUNDUP((B2/33.8),0))*B3)*B4</f>
        <v>160</v>
      </c>
      <c r="U7" s="44"/>
      <c r="V7" s="44"/>
      <c r="W7" s="44"/>
      <c r="Y7" s="14" t="s">
        <v>4</v>
      </c>
      <c r="Z7" s="44">
        <f>((ROUNDUP((B2/120.2),0))*B3)*B4</f>
        <v>48</v>
      </c>
      <c r="AA7" s="44"/>
      <c r="AB7" s="44"/>
      <c r="AC7" s="44"/>
    </row>
    <row r="8" spans="1:29" x14ac:dyDescent="0.2">
      <c r="A8" s="15" t="s">
        <v>19</v>
      </c>
      <c r="B8" s="15" t="s">
        <v>18</v>
      </c>
      <c r="C8" s="15" t="s">
        <v>20</v>
      </c>
      <c r="D8" s="15" t="s">
        <v>21</v>
      </c>
      <c r="E8" s="15" t="s">
        <v>22</v>
      </c>
      <c r="G8" s="15" t="s">
        <v>19</v>
      </c>
      <c r="H8" s="15" t="s">
        <v>18</v>
      </c>
      <c r="I8" s="15" t="s">
        <v>20</v>
      </c>
      <c r="J8" s="15" t="s">
        <v>21</v>
      </c>
      <c r="K8" s="15" t="s">
        <v>22</v>
      </c>
      <c r="M8" s="15" t="s">
        <v>19</v>
      </c>
      <c r="N8" s="15" t="s">
        <v>18</v>
      </c>
      <c r="O8" s="15" t="s">
        <v>20</v>
      </c>
      <c r="P8" s="15" t="s">
        <v>21</v>
      </c>
      <c r="Q8" s="15" t="s">
        <v>22</v>
      </c>
      <c r="S8" s="15" t="s">
        <v>19</v>
      </c>
      <c r="T8" s="15" t="s">
        <v>18</v>
      </c>
      <c r="U8" s="15" t="s">
        <v>20</v>
      </c>
      <c r="V8" s="15" t="s">
        <v>21</v>
      </c>
      <c r="W8" s="15" t="s">
        <v>22</v>
      </c>
      <c r="Y8" s="15" t="s">
        <v>19</v>
      </c>
      <c r="Z8" s="15" t="s">
        <v>18</v>
      </c>
      <c r="AA8" s="15" t="s">
        <v>20</v>
      </c>
      <c r="AB8" s="15" t="s">
        <v>21</v>
      </c>
      <c r="AC8" s="15" t="s">
        <v>22</v>
      </c>
    </row>
    <row r="9" spans="1:29" x14ac:dyDescent="0.2">
      <c r="A9" s="16" t="s">
        <v>5</v>
      </c>
      <c r="B9" s="17">
        <f>B4*B3</f>
        <v>8</v>
      </c>
      <c r="C9" s="18">
        <v>1250000</v>
      </c>
      <c r="D9" s="19">
        <f>(C9*0.1)+C9</f>
        <v>1375000</v>
      </c>
      <c r="E9" s="18">
        <f>D9*B9</f>
        <v>11000000</v>
      </c>
      <c r="G9" s="16" t="s">
        <v>5</v>
      </c>
      <c r="H9" s="17">
        <f>B4</f>
        <v>4</v>
      </c>
      <c r="I9" s="18">
        <v>750000</v>
      </c>
      <c r="J9" s="19">
        <f>(I9*0.1)+I9</f>
        <v>825000</v>
      </c>
      <c r="K9" s="18">
        <f>J9*H9</f>
        <v>3300000</v>
      </c>
      <c r="M9" s="16" t="s">
        <v>5</v>
      </c>
      <c r="N9" s="17">
        <f>B4*B3</f>
        <v>8</v>
      </c>
      <c r="O9" s="18">
        <v>1250000</v>
      </c>
      <c r="P9" s="19">
        <f>(O9*0.1)+O9</f>
        <v>1375000</v>
      </c>
      <c r="Q9" s="18">
        <f>P9*N9</f>
        <v>11000000</v>
      </c>
      <c r="S9" s="16" t="s">
        <v>5</v>
      </c>
      <c r="T9" s="17">
        <f>B4*B3</f>
        <v>8</v>
      </c>
      <c r="U9" s="18">
        <v>750000</v>
      </c>
      <c r="V9" s="19">
        <f>(U9*0.1)+U9</f>
        <v>825000</v>
      </c>
      <c r="W9" s="18">
        <f>V9*T9</f>
        <v>6600000</v>
      </c>
      <c r="Y9" s="16" t="s">
        <v>5</v>
      </c>
      <c r="Z9" s="17">
        <f>B4*B3</f>
        <v>8</v>
      </c>
      <c r="AA9" s="18">
        <v>750000</v>
      </c>
      <c r="AB9" s="19">
        <f>(AA9*0.1)+AA9</f>
        <v>825000</v>
      </c>
      <c r="AC9" s="18">
        <f>AB9*Z9</f>
        <v>6600000</v>
      </c>
    </row>
    <row r="10" spans="1:29" x14ac:dyDescent="0.2">
      <c r="A10" s="16" t="s">
        <v>6</v>
      </c>
      <c r="B10" s="17">
        <f>B7</f>
        <v>48</v>
      </c>
      <c r="C10" s="18">
        <f>B6</f>
        <v>288000</v>
      </c>
      <c r="D10" s="19">
        <f t="shared" ref="D10:D11" si="0">(C10*0.1)+C10</f>
        <v>316800</v>
      </c>
      <c r="E10" s="18">
        <f t="shared" ref="E10:E11" si="1">D10*B10</f>
        <v>15206400</v>
      </c>
      <c r="G10" s="16" t="s">
        <v>6</v>
      </c>
      <c r="H10" s="17">
        <f>H7</f>
        <v>24</v>
      </c>
      <c r="I10" s="18">
        <f>H6</f>
        <v>232200</v>
      </c>
      <c r="J10" s="19">
        <f t="shared" ref="J10:J11" si="2">(I10*0.1)+I10</f>
        <v>255420</v>
      </c>
      <c r="K10" s="18">
        <f t="shared" ref="K10:K11" si="3">J10*H10</f>
        <v>6130080</v>
      </c>
      <c r="M10" s="16" t="s">
        <v>6</v>
      </c>
      <c r="N10" s="17">
        <f>N7</f>
        <v>40</v>
      </c>
      <c r="O10" s="18">
        <f>N6</f>
        <v>150000</v>
      </c>
      <c r="P10" s="19">
        <f t="shared" ref="P10:P11" si="4">(O10*0.1)+O10</f>
        <v>165000</v>
      </c>
      <c r="Q10" s="18">
        <f t="shared" ref="Q10:Q11" si="5">P10*N10</f>
        <v>6600000</v>
      </c>
      <c r="S10" s="16" t="s">
        <v>6</v>
      </c>
      <c r="T10" s="17">
        <f>T7</f>
        <v>160</v>
      </c>
      <c r="U10" s="18">
        <f>T6</f>
        <v>57000</v>
      </c>
      <c r="V10" s="19">
        <f t="shared" ref="V10:V11" si="6">(U10*0.1)+U10</f>
        <v>62700</v>
      </c>
      <c r="W10" s="18">
        <f t="shared" ref="W10:W11" si="7">V10*T10</f>
        <v>10032000</v>
      </c>
      <c r="Y10" s="16" t="s">
        <v>6</v>
      </c>
      <c r="Z10" s="17">
        <f>Z7</f>
        <v>48</v>
      </c>
      <c r="AA10" s="18">
        <f>Z6</f>
        <v>198000</v>
      </c>
      <c r="AB10" s="19">
        <f t="shared" ref="AB10:AB11" si="8">(AA10*0.1)+AA10</f>
        <v>217800</v>
      </c>
      <c r="AC10" s="18">
        <f t="shared" ref="AC10:AC11" si="9">AB10*Z10</f>
        <v>10454400</v>
      </c>
    </row>
    <row r="11" spans="1:29" x14ac:dyDescent="0.2">
      <c r="A11" s="16" t="s">
        <v>7</v>
      </c>
      <c r="B11" s="17">
        <f>(ROUNDUP(ROUNDDOWN(B2/108,0)/2,0))*B3*B4</f>
        <v>24</v>
      </c>
      <c r="C11" s="18">
        <v>250000</v>
      </c>
      <c r="D11" s="19">
        <f t="shared" si="0"/>
        <v>275000</v>
      </c>
      <c r="E11" s="18">
        <f t="shared" si="1"/>
        <v>6600000</v>
      </c>
      <c r="G11" s="16" t="s">
        <v>7</v>
      </c>
      <c r="H11" s="17">
        <f>(ROUNDUP(ROUNDDOWN(B2/108,0)/2,0))*B4</f>
        <v>12</v>
      </c>
      <c r="I11" s="18">
        <v>250000</v>
      </c>
      <c r="J11" s="19">
        <f t="shared" si="2"/>
        <v>275000</v>
      </c>
      <c r="K11" s="18">
        <f t="shared" si="3"/>
        <v>3300000</v>
      </c>
      <c r="M11" s="16" t="s">
        <v>7</v>
      </c>
      <c r="N11" s="17">
        <f>N10</f>
        <v>40</v>
      </c>
      <c r="O11" s="18">
        <v>250000</v>
      </c>
      <c r="P11" s="19">
        <f t="shared" si="4"/>
        <v>275000</v>
      </c>
      <c r="Q11" s="18">
        <f t="shared" si="5"/>
        <v>11000000</v>
      </c>
      <c r="S11" s="16" t="s">
        <v>7</v>
      </c>
      <c r="T11" s="17">
        <f>ROUNDUP((ROUNDUP((B2/33.8),0))/3,0)*ROUNDUP(((B3*B4)/2),0)</f>
        <v>28</v>
      </c>
      <c r="U11" s="18">
        <v>250000</v>
      </c>
      <c r="V11" s="19">
        <f t="shared" si="6"/>
        <v>275000</v>
      </c>
      <c r="W11" s="18">
        <f t="shared" si="7"/>
        <v>7700000</v>
      </c>
      <c r="Y11" s="16" t="s">
        <v>7</v>
      </c>
      <c r="Z11" s="17">
        <f>Z10/2</f>
        <v>24</v>
      </c>
      <c r="AA11" s="18">
        <v>250000</v>
      </c>
      <c r="AB11" s="19">
        <f t="shared" si="8"/>
        <v>275000</v>
      </c>
      <c r="AC11" s="18">
        <f t="shared" si="9"/>
        <v>6600000</v>
      </c>
    </row>
    <row r="12" spans="1:29" x14ac:dyDescent="0.2">
      <c r="A12" s="20" t="s">
        <v>8</v>
      </c>
      <c r="B12" s="21"/>
      <c r="C12" s="20"/>
      <c r="D12" s="20"/>
      <c r="E12" s="22">
        <f>SUM(E9:E11)</f>
        <v>32806400</v>
      </c>
      <c r="G12" s="20" t="s">
        <v>8</v>
      </c>
      <c r="H12" s="21"/>
      <c r="I12" s="20"/>
      <c r="J12" s="20"/>
      <c r="K12" s="22">
        <f>SUM(K9:K11)</f>
        <v>12730080</v>
      </c>
      <c r="M12" s="20" t="s">
        <v>8</v>
      </c>
      <c r="N12" s="21"/>
      <c r="O12" s="20"/>
      <c r="P12" s="20"/>
      <c r="Q12" s="22">
        <f>SUM(Q9:Q11)</f>
        <v>28600000</v>
      </c>
      <c r="S12" s="20" t="s">
        <v>8</v>
      </c>
      <c r="T12" s="21"/>
      <c r="U12" s="20"/>
      <c r="V12" s="20"/>
      <c r="W12" s="22">
        <f>SUM(W9:W11)</f>
        <v>24332000</v>
      </c>
      <c r="Y12" s="20" t="s">
        <v>8</v>
      </c>
      <c r="Z12" s="21"/>
      <c r="AA12" s="20"/>
      <c r="AB12" s="20"/>
      <c r="AC12" s="22">
        <f>SUM(AC9:AC11)</f>
        <v>23654400</v>
      </c>
    </row>
    <row r="13" spans="1:29" x14ac:dyDescent="0.2">
      <c r="A13" s="11" t="s">
        <v>11</v>
      </c>
      <c r="B13" s="23">
        <v>1</v>
      </c>
      <c r="C13" s="24">
        <v>2000000</v>
      </c>
      <c r="D13" s="24">
        <f>(C13*0.3)+C13</f>
        <v>2600000</v>
      </c>
      <c r="E13" s="24">
        <f>D13*B13</f>
        <v>2600000</v>
      </c>
      <c r="G13" s="11" t="s">
        <v>11</v>
      </c>
      <c r="H13" s="23">
        <v>1</v>
      </c>
      <c r="I13" s="24">
        <v>2000000</v>
      </c>
      <c r="J13" s="24">
        <f>(I13*0.3)+I13</f>
        <v>2600000</v>
      </c>
      <c r="K13" s="24">
        <f>J13*H13</f>
        <v>2600000</v>
      </c>
      <c r="M13" s="11" t="s">
        <v>11</v>
      </c>
      <c r="N13" s="23">
        <v>1</v>
      </c>
      <c r="O13" s="24">
        <v>2000000</v>
      </c>
      <c r="P13" s="24">
        <f>(O13*0.3)+O13</f>
        <v>2600000</v>
      </c>
      <c r="Q13" s="24">
        <f>P13*N13</f>
        <v>2600000</v>
      </c>
      <c r="S13" s="11" t="s">
        <v>11</v>
      </c>
      <c r="T13" s="23">
        <v>1</v>
      </c>
      <c r="U13" s="24">
        <v>2000000</v>
      </c>
      <c r="V13" s="24">
        <f>(U13*0.3)+U13</f>
        <v>2600000</v>
      </c>
      <c r="W13" s="24">
        <f>V13*T13</f>
        <v>2600000</v>
      </c>
      <c r="Y13" s="11" t="s">
        <v>11</v>
      </c>
      <c r="Z13" s="23">
        <v>1</v>
      </c>
      <c r="AA13" s="24">
        <v>2000000</v>
      </c>
      <c r="AB13" s="24">
        <f>(AA13*0.3)+AA13</f>
        <v>2600000</v>
      </c>
      <c r="AC13" s="24">
        <f>AB13*Z13</f>
        <v>2600000</v>
      </c>
    </row>
    <row r="14" spans="1:29" x14ac:dyDescent="0.2">
      <c r="A14" s="11" t="s">
        <v>34</v>
      </c>
      <c r="B14" s="23">
        <v>1</v>
      </c>
      <c r="C14" s="24">
        <v>1200000</v>
      </c>
      <c r="D14" s="24">
        <f>(C14*0.3)+C14</f>
        <v>1560000</v>
      </c>
      <c r="E14" s="24">
        <f>D14*B14</f>
        <v>1560000</v>
      </c>
      <c r="G14" s="11" t="s">
        <v>34</v>
      </c>
      <c r="H14" s="23">
        <v>1</v>
      </c>
      <c r="I14" s="24">
        <v>1200000</v>
      </c>
      <c r="J14" s="24">
        <f>(I14*0.3)+I14</f>
        <v>1560000</v>
      </c>
      <c r="K14" s="24">
        <f t="shared" ref="K14:K20" si="10">J14*H14</f>
        <v>1560000</v>
      </c>
      <c r="M14" s="11" t="s">
        <v>34</v>
      </c>
      <c r="N14" s="23">
        <v>1</v>
      </c>
      <c r="O14" s="24">
        <v>1200000</v>
      </c>
      <c r="P14" s="24">
        <f>(O14*0.3)+O14</f>
        <v>1560000</v>
      </c>
      <c r="Q14" s="24">
        <f t="shared" ref="Q14:Q20" si="11">P14*N14</f>
        <v>1560000</v>
      </c>
      <c r="S14" s="11" t="s">
        <v>34</v>
      </c>
      <c r="T14" s="23">
        <v>1</v>
      </c>
      <c r="U14" s="24">
        <v>1200000</v>
      </c>
      <c r="V14" s="24">
        <f>(U14*0.3)+U14</f>
        <v>1560000</v>
      </c>
      <c r="W14" s="24">
        <f t="shared" ref="W14:W22" si="12">V14*T14</f>
        <v>1560000</v>
      </c>
      <c r="Y14" s="11" t="s">
        <v>34</v>
      </c>
      <c r="Z14" s="23">
        <v>1</v>
      </c>
      <c r="AA14" s="24">
        <v>1200000</v>
      </c>
      <c r="AB14" s="24">
        <f>(AA14*0.3)+AA14</f>
        <v>1560000</v>
      </c>
      <c r="AC14" s="24">
        <f t="shared" ref="AC14:AC22" si="13">AB14*Z14</f>
        <v>1560000</v>
      </c>
    </row>
    <row r="15" spans="1:29" x14ac:dyDescent="0.2">
      <c r="A15" s="11" t="s">
        <v>25</v>
      </c>
      <c r="B15" s="23">
        <v>2</v>
      </c>
      <c r="C15" s="24">
        <v>500000</v>
      </c>
      <c r="D15" s="24">
        <f t="shared" ref="D15:D20" si="14">(C15*0.1)+C15</f>
        <v>550000</v>
      </c>
      <c r="E15" s="24">
        <f>D15*B15</f>
        <v>1100000</v>
      </c>
      <c r="G15" s="11" t="s">
        <v>25</v>
      </c>
      <c r="H15" s="23">
        <v>2</v>
      </c>
      <c r="I15" s="24">
        <v>500000</v>
      </c>
      <c r="J15" s="24">
        <f t="shared" ref="J15:J20" si="15">(I15*0.1)+I15</f>
        <v>550000</v>
      </c>
      <c r="K15" s="24">
        <f t="shared" si="10"/>
        <v>1100000</v>
      </c>
      <c r="M15" s="11" t="s">
        <v>25</v>
      </c>
      <c r="N15" s="23">
        <v>2</v>
      </c>
      <c r="O15" s="24">
        <v>500000</v>
      </c>
      <c r="P15" s="24">
        <f t="shared" ref="P15" si="16">(O15*0.1)+O15</f>
        <v>550000</v>
      </c>
      <c r="Q15" s="24">
        <f t="shared" si="11"/>
        <v>1100000</v>
      </c>
      <c r="S15" s="11" t="s">
        <v>25</v>
      </c>
      <c r="T15" s="23">
        <v>2</v>
      </c>
      <c r="U15" s="24">
        <v>500000</v>
      </c>
      <c r="V15" s="24">
        <f t="shared" ref="V15:V20" si="17">(U15*0.1)+U15</f>
        <v>550000</v>
      </c>
      <c r="W15" s="24">
        <f t="shared" si="12"/>
        <v>1100000</v>
      </c>
      <c r="Y15" s="11" t="s">
        <v>25</v>
      </c>
      <c r="Z15" s="23">
        <v>2</v>
      </c>
      <c r="AA15" s="24">
        <v>500000</v>
      </c>
      <c r="AB15" s="24">
        <f t="shared" ref="AB15:AB20" si="18">(AA15*0.1)+AA15</f>
        <v>550000</v>
      </c>
      <c r="AC15" s="24">
        <f t="shared" si="13"/>
        <v>1100000</v>
      </c>
    </row>
    <row r="16" spans="1:29" x14ac:dyDescent="0.2">
      <c r="A16" s="11" t="s">
        <v>35</v>
      </c>
      <c r="B16" s="23">
        <v>1</v>
      </c>
      <c r="C16" s="24">
        <v>1500000</v>
      </c>
      <c r="D16" s="24">
        <f>(C16*0.3)+C16</f>
        <v>1950000</v>
      </c>
      <c r="E16" s="24">
        <f t="shared" ref="E16:E20" si="19">D16*B16</f>
        <v>1950000</v>
      </c>
      <c r="G16" s="11" t="s">
        <v>35</v>
      </c>
      <c r="H16" s="23">
        <v>1</v>
      </c>
      <c r="I16" s="24">
        <v>1500000</v>
      </c>
      <c r="J16" s="24">
        <f>(I16*0.3)+I16</f>
        <v>1950000</v>
      </c>
      <c r="K16" s="24">
        <f t="shared" si="10"/>
        <v>1950000</v>
      </c>
      <c r="M16" s="11" t="s">
        <v>35</v>
      </c>
      <c r="N16" s="23">
        <v>0</v>
      </c>
      <c r="O16" s="24">
        <v>1500000</v>
      </c>
      <c r="P16" s="24">
        <f>(O16*0.3)+O16</f>
        <v>1950000</v>
      </c>
      <c r="Q16" s="24">
        <f t="shared" si="11"/>
        <v>0</v>
      </c>
      <c r="S16" s="11" t="s">
        <v>35</v>
      </c>
      <c r="T16" s="23">
        <v>0</v>
      </c>
      <c r="U16" s="24">
        <v>1500000</v>
      </c>
      <c r="V16" s="24">
        <f>(U16*0.3)+U16</f>
        <v>1950000</v>
      </c>
      <c r="W16" s="24">
        <f t="shared" si="12"/>
        <v>0</v>
      </c>
      <c r="Y16" s="11" t="s">
        <v>35</v>
      </c>
      <c r="Z16" s="23">
        <v>0</v>
      </c>
      <c r="AA16" s="24">
        <v>1500000</v>
      </c>
      <c r="AB16" s="24">
        <f>(AA16*0.3)+AA16</f>
        <v>1950000</v>
      </c>
      <c r="AC16" s="24">
        <f t="shared" si="13"/>
        <v>0</v>
      </c>
    </row>
    <row r="17" spans="1:29" x14ac:dyDescent="0.2">
      <c r="A17" s="11" t="s">
        <v>36</v>
      </c>
      <c r="B17" s="23">
        <v>1</v>
      </c>
      <c r="C17" s="24">
        <v>1200000</v>
      </c>
      <c r="D17" s="24">
        <f>(C17*0.3)+C17</f>
        <v>1560000</v>
      </c>
      <c r="E17" s="24">
        <f t="shared" si="19"/>
        <v>1560000</v>
      </c>
      <c r="G17" s="11" t="s">
        <v>36</v>
      </c>
      <c r="H17" s="23">
        <v>0</v>
      </c>
      <c r="I17" s="24">
        <v>1200000</v>
      </c>
      <c r="J17" s="24">
        <f>(I17*0.3)+I17</f>
        <v>1560000</v>
      </c>
      <c r="K17" s="24">
        <f t="shared" si="10"/>
        <v>0</v>
      </c>
      <c r="M17" s="11" t="s">
        <v>36</v>
      </c>
      <c r="N17" s="23">
        <v>0</v>
      </c>
      <c r="O17" s="24">
        <v>1200000</v>
      </c>
      <c r="P17" s="24">
        <f>(O17*0.3)+O17</f>
        <v>1560000</v>
      </c>
      <c r="Q17" s="24">
        <f t="shared" si="11"/>
        <v>0</v>
      </c>
      <c r="S17" s="11" t="s">
        <v>36</v>
      </c>
      <c r="T17" s="23">
        <v>0</v>
      </c>
      <c r="U17" s="24">
        <v>1200000</v>
      </c>
      <c r="V17" s="24">
        <f>(U17*0.3)+U17</f>
        <v>1560000</v>
      </c>
      <c r="W17" s="24">
        <f t="shared" si="12"/>
        <v>0</v>
      </c>
      <c r="Y17" s="11" t="s">
        <v>36</v>
      </c>
      <c r="Z17" s="23">
        <v>0</v>
      </c>
      <c r="AA17" s="24">
        <v>1200000</v>
      </c>
      <c r="AB17" s="24">
        <f>(AA17*0.3)+AA17</f>
        <v>1560000</v>
      </c>
      <c r="AC17" s="24">
        <f t="shared" si="13"/>
        <v>0</v>
      </c>
    </row>
    <row r="18" spans="1:29" x14ac:dyDescent="0.2">
      <c r="A18" s="11" t="s">
        <v>23</v>
      </c>
      <c r="B18" s="23">
        <v>1</v>
      </c>
      <c r="C18" s="24">
        <v>600000</v>
      </c>
      <c r="D18" s="24">
        <f>(C18*0.3)+C18</f>
        <v>780000</v>
      </c>
      <c r="E18" s="24">
        <f>D18*B18</f>
        <v>780000</v>
      </c>
      <c r="G18" s="11" t="s">
        <v>23</v>
      </c>
      <c r="H18" s="23">
        <v>1</v>
      </c>
      <c r="I18" s="24">
        <v>600000</v>
      </c>
      <c r="J18" s="24">
        <f>(I18*0.3)+I18</f>
        <v>780000</v>
      </c>
      <c r="K18" s="24">
        <f t="shared" si="10"/>
        <v>780000</v>
      </c>
      <c r="M18" s="11" t="s">
        <v>23</v>
      </c>
      <c r="N18" s="23">
        <v>0</v>
      </c>
      <c r="O18" s="24">
        <v>600000</v>
      </c>
      <c r="P18" s="24">
        <f>(O18*0.3)+O18</f>
        <v>780000</v>
      </c>
      <c r="Q18" s="24">
        <f t="shared" si="11"/>
        <v>0</v>
      </c>
      <c r="S18" s="11" t="s">
        <v>23</v>
      </c>
      <c r="T18" s="23">
        <v>0</v>
      </c>
      <c r="U18" s="24">
        <v>600000</v>
      </c>
      <c r="V18" s="24">
        <f>(U18*0.3)+U18</f>
        <v>780000</v>
      </c>
      <c r="W18" s="24">
        <f t="shared" si="12"/>
        <v>0</v>
      </c>
      <c r="Y18" s="11" t="s">
        <v>23</v>
      </c>
      <c r="Z18" s="23">
        <v>0</v>
      </c>
      <c r="AA18" s="24">
        <v>600000</v>
      </c>
      <c r="AB18" s="24">
        <f>(AA18*0.3)+AA18</f>
        <v>780000</v>
      </c>
      <c r="AC18" s="24">
        <f t="shared" si="13"/>
        <v>0</v>
      </c>
    </row>
    <row r="19" spans="1:29" x14ac:dyDescent="0.2">
      <c r="A19" s="11" t="s">
        <v>37</v>
      </c>
      <c r="B19" s="23">
        <v>1</v>
      </c>
      <c r="C19" s="24">
        <v>800000</v>
      </c>
      <c r="D19" s="24">
        <f t="shared" si="14"/>
        <v>880000</v>
      </c>
      <c r="E19" s="24">
        <f>D19*B19</f>
        <v>880000</v>
      </c>
      <c r="G19" s="11" t="s">
        <v>37</v>
      </c>
      <c r="H19" s="23">
        <v>1</v>
      </c>
      <c r="I19" s="24">
        <v>800000</v>
      </c>
      <c r="J19" s="24">
        <f t="shared" si="15"/>
        <v>880000</v>
      </c>
      <c r="K19" s="24">
        <f t="shared" si="10"/>
        <v>880000</v>
      </c>
      <c r="M19" s="11" t="s">
        <v>37</v>
      </c>
      <c r="N19" s="23">
        <v>1</v>
      </c>
      <c r="O19" s="24">
        <v>800000</v>
      </c>
      <c r="P19" s="24">
        <f t="shared" ref="P19:P20" si="20">(O19*0.1)+O19</f>
        <v>880000</v>
      </c>
      <c r="Q19" s="24">
        <f t="shared" si="11"/>
        <v>880000</v>
      </c>
      <c r="S19" s="11" t="s">
        <v>37</v>
      </c>
      <c r="T19" s="23">
        <v>1</v>
      </c>
      <c r="U19" s="24">
        <v>800000</v>
      </c>
      <c r="V19" s="24">
        <f t="shared" si="17"/>
        <v>880000</v>
      </c>
      <c r="W19" s="24">
        <f t="shared" si="12"/>
        <v>880000</v>
      </c>
      <c r="Y19" s="11" t="s">
        <v>37</v>
      </c>
      <c r="Z19" s="23">
        <v>1</v>
      </c>
      <c r="AA19" s="24">
        <v>800000</v>
      </c>
      <c r="AB19" s="24">
        <f t="shared" si="18"/>
        <v>880000</v>
      </c>
      <c r="AC19" s="24">
        <f t="shared" si="13"/>
        <v>880000</v>
      </c>
    </row>
    <row r="20" spans="1:29" x14ac:dyDescent="0.2">
      <c r="A20" s="11" t="s">
        <v>14</v>
      </c>
      <c r="B20" s="23">
        <v>1</v>
      </c>
      <c r="C20" s="24">
        <v>5200000</v>
      </c>
      <c r="D20" s="24">
        <f t="shared" si="14"/>
        <v>5720000</v>
      </c>
      <c r="E20" s="24">
        <f t="shared" si="19"/>
        <v>5720000</v>
      </c>
      <c r="G20" s="11" t="s">
        <v>14</v>
      </c>
      <c r="H20" s="23">
        <v>1</v>
      </c>
      <c r="I20" s="24">
        <v>4000000</v>
      </c>
      <c r="J20" s="24">
        <f t="shared" si="15"/>
        <v>4400000</v>
      </c>
      <c r="K20" s="24">
        <f t="shared" si="10"/>
        <v>4400000</v>
      </c>
      <c r="M20" s="11" t="s">
        <v>14</v>
      </c>
      <c r="N20" s="23">
        <v>1</v>
      </c>
      <c r="O20" s="24">
        <v>2300000</v>
      </c>
      <c r="P20" s="24">
        <f t="shared" si="20"/>
        <v>2530000</v>
      </c>
      <c r="Q20" s="24">
        <f t="shared" si="11"/>
        <v>2530000</v>
      </c>
      <c r="S20" s="11" t="s">
        <v>14</v>
      </c>
      <c r="T20" s="23">
        <v>1</v>
      </c>
      <c r="U20" s="24">
        <v>2300000</v>
      </c>
      <c r="V20" s="24">
        <f t="shared" si="17"/>
        <v>2530000</v>
      </c>
      <c r="W20" s="24">
        <f t="shared" si="12"/>
        <v>2530000</v>
      </c>
      <c r="Y20" s="11" t="s">
        <v>14</v>
      </c>
      <c r="Z20" s="23">
        <v>1</v>
      </c>
      <c r="AA20" s="24">
        <v>2300000</v>
      </c>
      <c r="AB20" s="24">
        <f t="shared" si="18"/>
        <v>2530000</v>
      </c>
      <c r="AC20" s="24">
        <f t="shared" si="13"/>
        <v>2530000</v>
      </c>
    </row>
    <row r="21" spans="1:29" x14ac:dyDescent="0.2">
      <c r="A21" s="11" t="s">
        <v>49</v>
      </c>
      <c r="B21" s="23">
        <v>0</v>
      </c>
      <c r="C21" s="24">
        <v>4500000</v>
      </c>
      <c r="D21" s="24">
        <f>C21</f>
        <v>4500000</v>
      </c>
      <c r="E21" s="24">
        <f>D21*B21</f>
        <v>0</v>
      </c>
      <c r="G21" s="11" t="s">
        <v>49</v>
      </c>
      <c r="H21" s="23">
        <v>1</v>
      </c>
      <c r="I21" s="24">
        <v>4500000</v>
      </c>
      <c r="J21" s="24">
        <f>I21</f>
        <v>4500000</v>
      </c>
      <c r="K21" s="24">
        <f>J21*H21</f>
        <v>4500000</v>
      </c>
      <c r="M21" s="11" t="s">
        <v>49</v>
      </c>
      <c r="N21" s="23">
        <v>0</v>
      </c>
      <c r="O21" s="24">
        <v>4500000</v>
      </c>
      <c r="P21" s="24">
        <f>O21</f>
        <v>4500000</v>
      </c>
      <c r="Q21" s="24">
        <f>P21*N21</f>
        <v>0</v>
      </c>
      <c r="T21" s="23">
        <v>0</v>
      </c>
      <c r="U21" s="24"/>
      <c r="V21" s="24"/>
      <c r="W21" s="24"/>
      <c r="Z21" s="23">
        <v>0</v>
      </c>
      <c r="AA21" s="24"/>
      <c r="AB21" s="24"/>
      <c r="AC21" s="24"/>
    </row>
    <row r="22" spans="1:29" x14ac:dyDescent="0.2">
      <c r="A22" s="11" t="s">
        <v>38</v>
      </c>
      <c r="B22" s="23">
        <v>1</v>
      </c>
      <c r="C22" s="24">
        <v>800000</v>
      </c>
      <c r="D22" s="24">
        <f>(C22*0.3)+C22</f>
        <v>1040000</v>
      </c>
      <c r="E22" s="24">
        <f>D22*B22</f>
        <v>1040000</v>
      </c>
      <c r="G22" s="11" t="s">
        <v>38</v>
      </c>
      <c r="H22" s="23">
        <v>1</v>
      </c>
      <c r="I22" s="24">
        <v>700000</v>
      </c>
      <c r="J22" s="24">
        <f>(I22*0.3)+I22</f>
        <v>910000</v>
      </c>
      <c r="K22" s="24">
        <f>J22*H22</f>
        <v>910000</v>
      </c>
      <c r="M22" s="11" t="s">
        <v>38</v>
      </c>
      <c r="N22" s="23">
        <v>1</v>
      </c>
      <c r="O22" s="24">
        <v>700000</v>
      </c>
      <c r="P22" s="24">
        <f>(O22*0.3)+O22</f>
        <v>910000</v>
      </c>
      <c r="Q22" s="24">
        <f>P22*N22</f>
        <v>910000</v>
      </c>
      <c r="S22" s="11" t="s">
        <v>38</v>
      </c>
      <c r="T22" s="23">
        <v>1</v>
      </c>
      <c r="U22" s="24">
        <v>700000</v>
      </c>
      <c r="V22" s="24">
        <f>(U22*0.3)+U22</f>
        <v>910000</v>
      </c>
      <c r="W22" s="24">
        <f t="shared" si="12"/>
        <v>910000</v>
      </c>
      <c r="Y22" s="11" t="s">
        <v>38</v>
      </c>
      <c r="Z22" s="23">
        <v>1</v>
      </c>
      <c r="AA22" s="24">
        <v>700000</v>
      </c>
      <c r="AB22" s="24">
        <f>(AA22*0.3)+AA22</f>
        <v>910000</v>
      </c>
      <c r="AC22" s="24">
        <f t="shared" si="13"/>
        <v>910000</v>
      </c>
    </row>
    <row r="23" spans="1:29" x14ac:dyDescent="0.2">
      <c r="A23" s="45" t="s">
        <v>27</v>
      </c>
      <c r="B23" s="45"/>
      <c r="C23" s="45"/>
      <c r="D23" s="45"/>
      <c r="E23" s="25">
        <f>SUM(E12:E22)</f>
        <v>49996400</v>
      </c>
      <c r="G23" s="45" t="s">
        <v>27</v>
      </c>
      <c r="H23" s="45"/>
      <c r="I23" s="45"/>
      <c r="J23" s="45"/>
      <c r="K23" s="25">
        <f>SUM(K12:K22)</f>
        <v>31410080</v>
      </c>
      <c r="M23" s="45" t="s">
        <v>27</v>
      </c>
      <c r="N23" s="45"/>
      <c r="O23" s="45"/>
      <c r="P23" s="45"/>
      <c r="Q23" s="25">
        <f>SUM(Q12:Q22)</f>
        <v>38180000</v>
      </c>
      <c r="S23" s="45" t="s">
        <v>27</v>
      </c>
      <c r="T23" s="45"/>
      <c r="U23" s="45"/>
      <c r="V23" s="45"/>
      <c r="W23" s="25">
        <f>SUM(W12:W22)</f>
        <v>33912000</v>
      </c>
      <c r="Y23" s="45" t="s">
        <v>27</v>
      </c>
      <c r="Z23" s="45"/>
      <c r="AA23" s="45"/>
      <c r="AB23" s="45"/>
      <c r="AC23" s="25">
        <f>SUM(AC12:AC22)</f>
        <v>33234400</v>
      </c>
    </row>
    <row r="24" spans="1:29" x14ac:dyDescent="0.2">
      <c r="A24" s="26" t="s">
        <v>28</v>
      </c>
      <c r="B24" s="27">
        <v>0.2</v>
      </c>
      <c r="C24" s="26"/>
      <c r="D24" s="26"/>
      <c r="E24" s="28">
        <f>E23/0.8</f>
        <v>62495500</v>
      </c>
      <c r="G24" s="26" t="s">
        <v>28</v>
      </c>
      <c r="H24" s="27">
        <v>0.2</v>
      </c>
      <c r="I24" s="26"/>
      <c r="J24" s="26"/>
      <c r="K24" s="28">
        <f>K23/0.8</f>
        <v>39262600</v>
      </c>
      <c r="M24" s="26" t="s">
        <v>28</v>
      </c>
      <c r="N24" s="27">
        <v>0.2</v>
      </c>
      <c r="O24" s="26"/>
      <c r="P24" s="26"/>
      <c r="Q24" s="28">
        <f>Q23/0.8</f>
        <v>47725000</v>
      </c>
      <c r="S24" s="26" t="s">
        <v>28</v>
      </c>
      <c r="T24" s="27">
        <v>0.2</v>
      </c>
      <c r="U24" s="26"/>
      <c r="V24" s="26"/>
      <c r="W24" s="28">
        <f>W23/0.8</f>
        <v>42390000</v>
      </c>
      <c r="Y24" s="26" t="s">
        <v>28</v>
      </c>
      <c r="Z24" s="27">
        <v>0.2</v>
      </c>
      <c r="AA24" s="26"/>
      <c r="AB24" s="26"/>
      <c r="AC24" s="28">
        <f>AC23/0.8</f>
        <v>41543000</v>
      </c>
    </row>
    <row r="25" spans="1:29" x14ac:dyDescent="0.2">
      <c r="A25" s="29" t="s">
        <v>29</v>
      </c>
      <c r="B25" s="30">
        <v>0.1</v>
      </c>
      <c r="C25" s="29"/>
      <c r="D25" s="29"/>
      <c r="E25" s="31">
        <f>E24/0.9</f>
        <v>69439444.444444448</v>
      </c>
      <c r="G25" s="29" t="s">
        <v>29</v>
      </c>
      <c r="H25" s="30">
        <v>0.1</v>
      </c>
      <c r="I25" s="29"/>
      <c r="J25" s="29"/>
      <c r="K25" s="31">
        <f>K24/0.9</f>
        <v>43625111.111111112</v>
      </c>
      <c r="M25" s="29" t="s">
        <v>29</v>
      </c>
      <c r="N25" s="30">
        <v>0.1</v>
      </c>
      <c r="O25" s="29"/>
      <c r="P25" s="29"/>
      <c r="Q25" s="31">
        <f>Q24/0.9</f>
        <v>53027777.777777776</v>
      </c>
      <c r="S25" s="29" t="s">
        <v>29</v>
      </c>
      <c r="T25" s="30">
        <v>0.1</v>
      </c>
      <c r="U25" s="29"/>
      <c r="V25" s="29"/>
      <c r="W25" s="31">
        <f>W24/0.9</f>
        <v>47100000</v>
      </c>
      <c r="Y25" s="29" t="s">
        <v>29</v>
      </c>
      <c r="Z25" s="30">
        <v>0.1</v>
      </c>
      <c r="AA25" s="29"/>
      <c r="AB25" s="29"/>
      <c r="AC25" s="31">
        <f>AC24/0.9</f>
        <v>46158888.888888888</v>
      </c>
    </row>
    <row r="27" spans="1:29" ht="15" x14ac:dyDescent="0.2">
      <c r="A27"/>
      <c r="B27"/>
      <c r="C27"/>
      <c r="D27"/>
      <c r="E27"/>
      <c r="F27"/>
      <c r="G27"/>
      <c r="H27"/>
    </row>
    <row r="28" spans="1:29" ht="15" x14ac:dyDescent="0.2">
      <c r="A28"/>
      <c r="B28"/>
      <c r="C28"/>
      <c r="D28"/>
      <c r="E28"/>
      <c r="F28"/>
      <c r="G28"/>
      <c r="H28"/>
    </row>
    <row r="29" spans="1:29" ht="15" x14ac:dyDescent="0.2">
      <c r="A29"/>
      <c r="B29"/>
      <c r="C29"/>
      <c r="D29"/>
      <c r="E29"/>
      <c r="F29"/>
      <c r="G29"/>
      <c r="H29"/>
    </row>
    <row r="30" spans="1:29" ht="15" x14ac:dyDescent="0.2">
      <c r="A30"/>
      <c r="B30"/>
      <c r="C30"/>
      <c r="D30"/>
      <c r="E30"/>
      <c r="F30"/>
      <c r="G30"/>
      <c r="H30"/>
    </row>
    <row r="31" spans="1:29" ht="15" x14ac:dyDescent="0.2">
      <c r="A31"/>
      <c r="B31"/>
      <c r="C31"/>
      <c r="D31"/>
      <c r="E31"/>
      <c r="F31"/>
      <c r="G31"/>
      <c r="H31"/>
    </row>
    <row r="32" spans="1:29" ht="15" x14ac:dyDescent="0.2">
      <c r="A32"/>
      <c r="B32"/>
      <c r="C32"/>
      <c r="D32"/>
      <c r="E32"/>
      <c r="F32"/>
      <c r="G32"/>
      <c r="H32"/>
    </row>
    <row r="33" spans="1:8" ht="15" x14ac:dyDescent="0.2">
      <c r="A33"/>
      <c r="B33"/>
      <c r="C33"/>
      <c r="D33"/>
      <c r="E33"/>
      <c r="F33"/>
      <c r="G33"/>
      <c r="H33"/>
    </row>
    <row r="34" spans="1:8" ht="15" x14ac:dyDescent="0.2">
      <c r="A34"/>
      <c r="B34"/>
      <c r="C34"/>
      <c r="D34"/>
      <c r="E34"/>
      <c r="F34"/>
      <c r="G34"/>
      <c r="H34"/>
    </row>
    <row r="35" spans="1:8" ht="15" x14ac:dyDescent="0.2">
      <c r="A35"/>
      <c r="B35"/>
      <c r="C35"/>
      <c r="D35"/>
      <c r="E35"/>
      <c r="F35"/>
      <c r="G35"/>
      <c r="H35"/>
    </row>
    <row r="36" spans="1:8" ht="15" x14ac:dyDescent="0.2">
      <c r="A36"/>
      <c r="B36"/>
      <c r="C36"/>
      <c r="D36"/>
      <c r="E36"/>
      <c r="F36"/>
      <c r="G36"/>
      <c r="H36"/>
    </row>
    <row r="37" spans="1:8" ht="15" x14ac:dyDescent="0.2">
      <c r="A37"/>
      <c r="B37"/>
      <c r="C37"/>
      <c r="D37"/>
      <c r="E37"/>
      <c r="F37"/>
      <c r="G37"/>
      <c r="H37"/>
    </row>
    <row r="38" spans="1:8" ht="15" x14ac:dyDescent="0.2">
      <c r="A38"/>
      <c r="B38"/>
      <c r="C38"/>
      <c r="D38"/>
      <c r="E38"/>
      <c r="F38"/>
      <c r="G38"/>
      <c r="H38"/>
    </row>
    <row r="39" spans="1:8" ht="15" x14ac:dyDescent="0.2">
      <c r="A39"/>
      <c r="B39"/>
      <c r="C39"/>
      <c r="D39"/>
      <c r="E39"/>
      <c r="F39"/>
      <c r="G39"/>
      <c r="H39"/>
    </row>
    <row r="40" spans="1:8" ht="15" x14ac:dyDescent="0.2">
      <c r="A40"/>
      <c r="B40"/>
      <c r="C40"/>
      <c r="D40"/>
      <c r="E40"/>
      <c r="F40"/>
      <c r="G40"/>
      <c r="H40"/>
    </row>
    <row r="41" spans="1:8" ht="15" x14ac:dyDescent="0.2">
      <c r="A41"/>
      <c r="B41"/>
      <c r="C41"/>
      <c r="D41"/>
      <c r="E41"/>
      <c r="F41"/>
      <c r="G41"/>
      <c r="H41"/>
    </row>
    <row r="42" spans="1:8" ht="15" x14ac:dyDescent="0.2">
      <c r="A42"/>
      <c r="B42"/>
      <c r="C42"/>
      <c r="D42"/>
      <c r="E42"/>
      <c r="F42"/>
      <c r="G42"/>
      <c r="H42"/>
    </row>
    <row r="43" spans="1:8" ht="15" x14ac:dyDescent="0.2">
      <c r="A43"/>
      <c r="B43"/>
      <c r="C43"/>
      <c r="D43"/>
      <c r="E43"/>
      <c r="F43"/>
      <c r="G43"/>
      <c r="H43"/>
    </row>
    <row r="44" spans="1:8" ht="15" x14ac:dyDescent="0.2">
      <c r="A44"/>
      <c r="B44"/>
      <c r="C44"/>
      <c r="D44"/>
      <c r="E44"/>
      <c r="F44"/>
      <c r="G44"/>
      <c r="H44"/>
    </row>
    <row r="45" spans="1:8" ht="15" x14ac:dyDescent="0.2">
      <c r="A45"/>
      <c r="B45"/>
      <c r="C45"/>
      <c r="D45"/>
      <c r="E45"/>
      <c r="F45"/>
      <c r="G45"/>
      <c r="H45"/>
    </row>
    <row r="46" spans="1:8" ht="15" x14ac:dyDescent="0.2">
      <c r="A46"/>
      <c r="B46"/>
      <c r="C46"/>
      <c r="D46"/>
      <c r="E46"/>
      <c r="F46"/>
      <c r="G46"/>
      <c r="H46"/>
    </row>
    <row r="47" spans="1:8" ht="15" x14ac:dyDescent="0.2">
      <c r="A47"/>
      <c r="B47"/>
      <c r="C47"/>
      <c r="D47"/>
      <c r="E47"/>
      <c r="F47"/>
      <c r="G47"/>
      <c r="H47"/>
    </row>
    <row r="48" spans="1:8" ht="15" x14ac:dyDescent="0.2">
      <c r="A48"/>
      <c r="B48"/>
      <c r="C48"/>
      <c r="D48"/>
      <c r="E48"/>
      <c r="F48"/>
      <c r="G48"/>
      <c r="H48"/>
    </row>
    <row r="49" spans="1:8" ht="15" x14ac:dyDescent="0.2">
      <c r="A49"/>
      <c r="B49"/>
      <c r="C49"/>
      <c r="D49"/>
      <c r="E49"/>
      <c r="F49"/>
      <c r="G49"/>
      <c r="H49"/>
    </row>
    <row r="50" spans="1:8" ht="15" x14ac:dyDescent="0.2">
      <c r="A50"/>
      <c r="B50"/>
      <c r="C50"/>
      <c r="D50"/>
      <c r="E50"/>
      <c r="F50"/>
      <c r="G50"/>
      <c r="H50"/>
    </row>
    <row r="51" spans="1:8" ht="15" x14ac:dyDescent="0.2">
      <c r="A51"/>
      <c r="B51"/>
      <c r="C51"/>
      <c r="D51"/>
      <c r="E51"/>
      <c r="F51"/>
      <c r="G51"/>
      <c r="H51"/>
    </row>
    <row r="52" spans="1:8" ht="15" x14ac:dyDescent="0.2">
      <c r="A52"/>
      <c r="B52"/>
      <c r="C52"/>
      <c r="D52"/>
      <c r="E52"/>
      <c r="F52"/>
      <c r="G52"/>
      <c r="H52"/>
    </row>
    <row r="53" spans="1:8" ht="15" x14ac:dyDescent="0.2">
      <c r="A53"/>
      <c r="B53"/>
      <c r="C53"/>
      <c r="D53"/>
      <c r="E53"/>
      <c r="F53"/>
      <c r="G53"/>
      <c r="H53"/>
    </row>
    <row r="54" spans="1:8" ht="15" x14ac:dyDescent="0.2">
      <c r="A54"/>
      <c r="B54"/>
      <c r="C54"/>
      <c r="D54"/>
      <c r="E54"/>
      <c r="F54"/>
      <c r="G54"/>
      <c r="H54"/>
    </row>
    <row r="55" spans="1:8" ht="15" x14ac:dyDescent="0.2">
      <c r="A55"/>
      <c r="B55"/>
      <c r="C55"/>
      <c r="D55"/>
      <c r="E55"/>
      <c r="F55"/>
      <c r="G55"/>
      <c r="H55"/>
    </row>
    <row r="56" spans="1:8" ht="15" x14ac:dyDescent="0.2">
      <c r="A56"/>
      <c r="B56"/>
      <c r="C56"/>
      <c r="D56"/>
      <c r="E56"/>
      <c r="F56"/>
      <c r="G56"/>
      <c r="H56"/>
    </row>
    <row r="57" spans="1:8" ht="15" x14ac:dyDescent="0.2">
      <c r="A57"/>
      <c r="B57"/>
      <c r="C57"/>
      <c r="D57"/>
      <c r="E57"/>
      <c r="F57"/>
      <c r="G57"/>
      <c r="H57"/>
    </row>
  </sheetData>
  <mergeCells count="20">
    <mergeCell ref="B6:E6"/>
    <mergeCell ref="H6:K6"/>
    <mergeCell ref="N6:Q6"/>
    <mergeCell ref="T6:W6"/>
    <mergeCell ref="Z6:AC6"/>
    <mergeCell ref="A5:B5"/>
    <mergeCell ref="G5:H5"/>
    <mergeCell ref="M5:P5"/>
    <mergeCell ref="S5:T5"/>
    <mergeCell ref="Y5:AC5"/>
    <mergeCell ref="A23:D23"/>
    <mergeCell ref="G23:J23"/>
    <mergeCell ref="M23:P23"/>
    <mergeCell ref="S23:V23"/>
    <mergeCell ref="Y23:AB23"/>
    <mergeCell ref="B7:E7"/>
    <mergeCell ref="H7:K7"/>
    <mergeCell ref="N7:Q7"/>
    <mergeCell ref="T7:W7"/>
    <mergeCell ref="Z7:A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BEC7-FB61-4695-86BA-90C43B35BB94}">
  <dimension ref="A1:E39"/>
  <sheetViews>
    <sheetView zoomScale="110" zoomScaleNormal="110" zoomScaleSheetLayoutView="100" workbookViewId="0">
      <selection activeCell="H12" sqref="H12"/>
    </sheetView>
  </sheetViews>
  <sheetFormatPr baseColWidth="10" defaultColWidth="8.5" defaultRowHeight="14" x14ac:dyDescent="0.2"/>
  <cols>
    <col min="1" max="1" width="20.83203125" style="11" customWidth="1"/>
    <col min="2" max="2" width="12.6640625" style="11" customWidth="1"/>
    <col min="3" max="3" width="13.5" style="10" customWidth="1"/>
    <col min="4" max="4" width="13.5" style="11" customWidth="1"/>
    <col min="5" max="5" width="13.5" style="10" customWidth="1"/>
    <col min="6" max="6" width="6.6640625" style="11" customWidth="1"/>
    <col min="7" max="16384" width="8.5" style="11"/>
  </cols>
  <sheetData>
    <row r="1" spans="1:5" x14ac:dyDescent="0.2">
      <c r="A1" s="33" t="s">
        <v>30</v>
      </c>
      <c r="B1" s="7"/>
      <c r="C1" s="8"/>
      <c r="D1" s="9"/>
    </row>
    <row r="2" spans="1:5" x14ac:dyDescent="0.2">
      <c r="A2" s="32" t="s">
        <v>15</v>
      </c>
      <c r="B2" s="12">
        <v>540</v>
      </c>
      <c r="D2" s="9"/>
    </row>
    <row r="3" spans="1:5" x14ac:dyDescent="0.2">
      <c r="A3" s="32" t="s">
        <v>16</v>
      </c>
      <c r="B3" s="12">
        <v>2</v>
      </c>
      <c r="D3" s="9"/>
    </row>
    <row r="4" spans="1:5" x14ac:dyDescent="0.2">
      <c r="A4" s="32" t="s">
        <v>17</v>
      </c>
      <c r="B4" s="12">
        <v>4</v>
      </c>
    </row>
    <row r="5" spans="1:5" x14ac:dyDescent="0.2">
      <c r="A5" s="46" t="s">
        <v>32</v>
      </c>
      <c r="B5" s="46"/>
      <c r="C5" s="38"/>
      <c r="D5" s="38"/>
      <c r="E5" s="39">
        <f>((ROUNDDOWN((B2/108),0)))*108</f>
        <v>540</v>
      </c>
    </row>
    <row r="6" spans="1:5" x14ac:dyDescent="0.2">
      <c r="A6" s="13" t="s">
        <v>3</v>
      </c>
      <c r="B6" s="48">
        <f>5600*92</f>
        <v>515200</v>
      </c>
      <c r="C6" s="48"/>
      <c r="D6" s="48"/>
      <c r="E6" s="48"/>
    </row>
    <row r="7" spans="1:5" x14ac:dyDescent="0.2">
      <c r="A7" s="14" t="s">
        <v>4</v>
      </c>
      <c r="B7" s="44">
        <f>((ROUNDUP((B2/108),0))*B4)*B3</f>
        <v>40</v>
      </c>
      <c r="C7" s="44"/>
      <c r="D7" s="44"/>
      <c r="E7" s="44"/>
    </row>
    <row r="8" spans="1:5" x14ac:dyDescent="0.2">
      <c r="A8" s="15" t="s">
        <v>19</v>
      </c>
      <c r="B8" s="15" t="s">
        <v>18</v>
      </c>
      <c r="C8" s="15" t="s">
        <v>20</v>
      </c>
      <c r="D8" s="15" t="s">
        <v>21</v>
      </c>
      <c r="E8" s="15" t="s">
        <v>22</v>
      </c>
    </row>
    <row r="9" spans="1:5" x14ac:dyDescent="0.2">
      <c r="A9" s="16" t="s">
        <v>5</v>
      </c>
      <c r="B9" s="17">
        <f>B4*B3</f>
        <v>8</v>
      </c>
      <c r="C9" s="18">
        <v>1250000</v>
      </c>
      <c r="D9" s="19">
        <f>(C9*0.1)+C9</f>
        <v>1375000</v>
      </c>
      <c r="E9" s="18">
        <f>D9*B9</f>
        <v>11000000</v>
      </c>
    </row>
    <row r="10" spans="1:5" x14ac:dyDescent="0.2">
      <c r="A10" s="16" t="s">
        <v>6</v>
      </c>
      <c r="B10" s="17">
        <f>B7</f>
        <v>40</v>
      </c>
      <c r="C10" s="18">
        <f>B6</f>
        <v>515200</v>
      </c>
      <c r="D10" s="19">
        <f>(C10*0.1)+C10</f>
        <v>566720</v>
      </c>
      <c r="E10" s="18">
        <f>D10*B10</f>
        <v>22668800</v>
      </c>
    </row>
    <row r="11" spans="1:5" x14ac:dyDescent="0.2">
      <c r="A11" s="16" t="s">
        <v>7</v>
      </c>
      <c r="B11" s="17">
        <f>B10</f>
        <v>40</v>
      </c>
      <c r="C11" s="18">
        <v>250000</v>
      </c>
      <c r="D11" s="19">
        <f>(C11*0.1)+C11</f>
        <v>275000</v>
      </c>
      <c r="E11" s="18">
        <f>D11*B11</f>
        <v>11000000</v>
      </c>
    </row>
    <row r="12" spans="1:5" x14ac:dyDescent="0.2">
      <c r="A12" s="20" t="s">
        <v>8</v>
      </c>
      <c r="B12" s="21"/>
      <c r="C12" s="20"/>
      <c r="D12" s="20"/>
      <c r="E12" s="22">
        <f>SUM(E9:E11)</f>
        <v>44668800</v>
      </c>
    </row>
    <row r="13" spans="1:5" x14ac:dyDescent="0.2">
      <c r="A13" s="11" t="s">
        <v>11</v>
      </c>
      <c r="B13" s="23">
        <v>1</v>
      </c>
      <c r="C13" s="24">
        <v>2000000</v>
      </c>
      <c r="D13" s="24">
        <f>(C13*0.3)+C13</f>
        <v>2600000</v>
      </c>
      <c r="E13" s="24">
        <f t="shared" ref="E13:E22" si="0">D13*B13</f>
        <v>2600000</v>
      </c>
    </row>
    <row r="14" spans="1:5" x14ac:dyDescent="0.2">
      <c r="A14" s="11" t="s">
        <v>34</v>
      </c>
      <c r="B14" s="23">
        <v>1</v>
      </c>
      <c r="C14" s="24">
        <v>1200000</v>
      </c>
      <c r="D14" s="24">
        <f>(C14*0.3)+C14</f>
        <v>1560000</v>
      </c>
      <c r="E14" s="24">
        <f t="shared" si="0"/>
        <v>1560000</v>
      </c>
    </row>
    <row r="15" spans="1:5" x14ac:dyDescent="0.2">
      <c r="A15" s="11" t="s">
        <v>25</v>
      </c>
      <c r="B15" s="23">
        <v>2</v>
      </c>
      <c r="C15" s="24">
        <v>500000</v>
      </c>
      <c r="D15" s="24">
        <f>(C15*0.1)+C15</f>
        <v>550000</v>
      </c>
      <c r="E15" s="24">
        <f t="shared" si="0"/>
        <v>1100000</v>
      </c>
    </row>
    <row r="16" spans="1:5" x14ac:dyDescent="0.2">
      <c r="A16" s="11" t="s">
        <v>35</v>
      </c>
      <c r="B16" s="23">
        <v>1</v>
      </c>
      <c r="C16" s="24">
        <v>1500000</v>
      </c>
      <c r="D16" s="24">
        <f>(C16*0.3)+C16</f>
        <v>1950000</v>
      </c>
      <c r="E16" s="24">
        <f t="shared" si="0"/>
        <v>1950000</v>
      </c>
    </row>
    <row r="17" spans="1:5" x14ac:dyDescent="0.2">
      <c r="A17" s="11" t="s">
        <v>36</v>
      </c>
      <c r="B17" s="23">
        <v>0</v>
      </c>
      <c r="C17" s="24">
        <v>1200000</v>
      </c>
      <c r="D17" s="24">
        <f>(C17*0.3)+C17</f>
        <v>1560000</v>
      </c>
      <c r="E17" s="24">
        <f t="shared" si="0"/>
        <v>0</v>
      </c>
    </row>
    <row r="18" spans="1:5" x14ac:dyDescent="0.2">
      <c r="A18" s="11" t="s">
        <v>23</v>
      </c>
      <c r="B18" s="23">
        <v>1</v>
      </c>
      <c r="C18" s="24">
        <v>600000</v>
      </c>
      <c r="D18" s="24">
        <f>(C18*0.3)+C18</f>
        <v>780000</v>
      </c>
      <c r="E18" s="24">
        <f t="shared" si="0"/>
        <v>780000</v>
      </c>
    </row>
    <row r="19" spans="1:5" x14ac:dyDescent="0.2">
      <c r="A19" s="11" t="s">
        <v>37</v>
      </c>
      <c r="B19" s="23">
        <v>1</v>
      </c>
      <c r="C19" s="24">
        <v>800000</v>
      </c>
      <c r="D19" s="24">
        <f>(C19*0.1)+C19</f>
        <v>880000</v>
      </c>
      <c r="E19" s="24">
        <f t="shared" si="0"/>
        <v>880000</v>
      </c>
    </row>
    <row r="20" spans="1:5" x14ac:dyDescent="0.2">
      <c r="A20" s="11" t="s">
        <v>14</v>
      </c>
      <c r="B20" s="23">
        <v>0</v>
      </c>
      <c r="C20" s="24">
        <v>5200000</v>
      </c>
      <c r="D20" s="24">
        <f>(C20*0.1)+C20</f>
        <v>5720000</v>
      </c>
      <c r="E20" s="24">
        <f t="shared" si="0"/>
        <v>0</v>
      </c>
    </row>
    <row r="21" spans="1:5" x14ac:dyDescent="0.2">
      <c r="A21" s="11" t="s">
        <v>49</v>
      </c>
      <c r="B21" s="23">
        <v>1</v>
      </c>
      <c r="C21" s="24">
        <v>4942400</v>
      </c>
      <c r="D21" s="24">
        <f>C21</f>
        <v>4942400</v>
      </c>
      <c r="E21" s="24">
        <f t="shared" si="0"/>
        <v>4942400</v>
      </c>
    </row>
    <row r="22" spans="1:5" x14ac:dyDescent="0.2">
      <c r="A22" s="11" t="s">
        <v>38</v>
      </c>
      <c r="B22" s="23">
        <v>0</v>
      </c>
      <c r="C22" s="24">
        <v>800000</v>
      </c>
      <c r="D22" s="24">
        <f>(C22*0.3)+C22</f>
        <v>1040000</v>
      </c>
      <c r="E22" s="24">
        <f t="shared" si="0"/>
        <v>0</v>
      </c>
    </row>
    <row r="23" spans="1:5" x14ac:dyDescent="0.2">
      <c r="A23" s="45" t="s">
        <v>27</v>
      </c>
      <c r="B23" s="45"/>
      <c r="C23" s="45"/>
      <c r="D23" s="45"/>
      <c r="E23" s="25">
        <f>SUM(E12:E22)</f>
        <v>58481200</v>
      </c>
    </row>
    <row r="24" spans="1:5" x14ac:dyDescent="0.2">
      <c r="A24" s="26" t="s">
        <v>28</v>
      </c>
      <c r="B24" s="27">
        <v>0.2</v>
      </c>
      <c r="C24" s="26"/>
      <c r="D24" s="26"/>
      <c r="E24" s="28">
        <f>E23/0.8</f>
        <v>73101500</v>
      </c>
    </row>
    <row r="25" spans="1:5" x14ac:dyDescent="0.2">
      <c r="A25" s="29" t="s">
        <v>29</v>
      </c>
      <c r="B25" s="30">
        <v>0.15</v>
      </c>
      <c r="C25" s="29"/>
      <c r="D25" s="29"/>
      <c r="E25" s="31">
        <f>E24/0.85</f>
        <v>86001764.705882356</v>
      </c>
    </row>
    <row r="27" spans="1:5" x14ac:dyDescent="0.2">
      <c r="E27" s="43">
        <f>E24/86</f>
        <v>850017.4418604651</v>
      </c>
    </row>
    <row r="30" spans="1:5" x14ac:dyDescent="0.2">
      <c r="D30" s="24">
        <f>D20+E13</f>
        <v>8320000</v>
      </c>
    </row>
    <row r="32" spans="1:5" x14ac:dyDescent="0.2">
      <c r="E32" s="37">
        <f>E25/87</f>
        <v>988526.03110209608</v>
      </c>
    </row>
    <row r="34" spans="1:3" x14ac:dyDescent="0.2">
      <c r="A34" s="11" t="s">
        <v>14</v>
      </c>
      <c r="C34" s="24">
        <v>2300000</v>
      </c>
    </row>
    <row r="36" spans="1:3" x14ac:dyDescent="0.2">
      <c r="A36" s="11" t="s">
        <v>42</v>
      </c>
    </row>
    <row r="37" spans="1:3" x14ac:dyDescent="0.2">
      <c r="A37" s="11" t="s">
        <v>43</v>
      </c>
    </row>
    <row r="38" spans="1:3" x14ac:dyDescent="0.2">
      <c r="A38" s="11" t="str">
        <f>A24</f>
        <v>GM price</v>
      </c>
      <c r="B38" s="10">
        <f>E24</f>
        <v>73101500</v>
      </c>
    </row>
    <row r="39" spans="1:3" x14ac:dyDescent="0.2">
      <c r="A39" s="11" t="str">
        <f>A25</f>
        <v>Partner/General Cost</v>
      </c>
      <c r="B39" s="10">
        <f>E25</f>
        <v>86001764.705882356</v>
      </c>
    </row>
  </sheetData>
  <mergeCells count="4">
    <mergeCell ref="B7:E7"/>
    <mergeCell ref="A23:D23"/>
    <mergeCell ref="A5:B5"/>
    <mergeCell ref="B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3D57-AFB3-4631-B3C9-97D33D6A05F2}">
  <dimension ref="A1:L30"/>
  <sheetViews>
    <sheetView topLeftCell="A5" zoomScaleNormal="100" zoomScaleSheetLayoutView="100" workbookViewId="0">
      <selection activeCell="R22" sqref="R22"/>
    </sheetView>
  </sheetViews>
  <sheetFormatPr baseColWidth="10" defaultColWidth="8.5" defaultRowHeight="14" x14ac:dyDescent="0.2"/>
  <cols>
    <col min="1" max="1" width="23.83203125" style="1" customWidth="1"/>
    <col min="2" max="2" width="10.5" style="1" customWidth="1"/>
    <col min="3" max="3" width="14.1640625" style="5" customWidth="1"/>
    <col min="4" max="4" width="14.1640625" style="1" customWidth="1"/>
    <col min="5" max="5" width="14.1640625" style="5" customWidth="1"/>
    <col min="6" max="6" width="4.6640625" style="1" customWidth="1"/>
    <col min="7" max="7" width="23.83203125" style="5" hidden="1" customWidth="1"/>
    <col min="8" max="8" width="10.5" style="1" hidden="1" customWidth="1"/>
    <col min="9" max="9" width="14.1640625" style="5" hidden="1" customWidth="1"/>
    <col min="10" max="11" width="14.1640625" style="1" hidden="1" customWidth="1"/>
    <col min="12" max="12" width="4.6640625" style="1" hidden="1" customWidth="1"/>
    <col min="13" max="16384" width="8.5" style="1"/>
  </cols>
  <sheetData>
    <row r="1" spans="1:11" ht="16" x14ac:dyDescent="0.2">
      <c r="A1" s="2" t="s">
        <v>9</v>
      </c>
      <c r="B1" s="3"/>
      <c r="C1" s="4"/>
      <c r="D1" s="6"/>
    </row>
    <row r="2" spans="1:11" x14ac:dyDescent="0.2">
      <c r="A2" s="32" t="s">
        <v>15</v>
      </c>
      <c r="B2" s="12">
        <v>540</v>
      </c>
      <c r="D2" s="6"/>
    </row>
    <row r="3" spans="1:11" x14ac:dyDescent="0.2">
      <c r="A3" s="32" t="s">
        <v>17</v>
      </c>
      <c r="B3" s="12">
        <v>5</v>
      </c>
      <c r="D3" s="6"/>
    </row>
    <row r="4" spans="1:11" x14ac:dyDescent="0.2">
      <c r="A4" s="34"/>
      <c r="B4" s="35"/>
      <c r="D4" s="6"/>
    </row>
    <row r="5" spans="1:11" x14ac:dyDescent="0.2">
      <c r="A5" s="46" t="s">
        <v>0</v>
      </c>
      <c r="B5" s="46"/>
      <c r="C5" s="38"/>
      <c r="D5" s="38"/>
      <c r="E5" s="39"/>
      <c r="G5" s="47" t="s">
        <v>1</v>
      </c>
      <c r="H5" s="47"/>
      <c r="I5" s="47"/>
      <c r="J5" s="47"/>
      <c r="K5" s="47"/>
    </row>
    <row r="6" spans="1:11" x14ac:dyDescent="0.2">
      <c r="A6" s="13" t="s">
        <v>3</v>
      </c>
      <c r="B6" s="48">
        <f>3600*92</f>
        <v>331200</v>
      </c>
      <c r="C6" s="48"/>
      <c r="D6" s="48"/>
      <c r="E6" s="48"/>
      <c r="G6" s="13" t="s">
        <v>3</v>
      </c>
      <c r="H6" s="48">
        <f>280000</f>
        <v>280000</v>
      </c>
      <c r="I6" s="48"/>
      <c r="J6" s="48"/>
      <c r="K6" s="48"/>
    </row>
    <row r="7" spans="1:11" x14ac:dyDescent="0.2">
      <c r="A7" s="14" t="s">
        <v>4</v>
      </c>
      <c r="B7" s="44">
        <f>((ROUNDDOWN((B2/108),0))*B3)</f>
        <v>25</v>
      </c>
      <c r="C7" s="44"/>
      <c r="D7" s="44"/>
      <c r="E7" s="44"/>
      <c r="G7" s="14" t="s">
        <v>4</v>
      </c>
      <c r="H7" s="44">
        <f>((ROUNDDOWN((B2/61.2),0))*B3)</f>
        <v>40</v>
      </c>
      <c r="I7" s="44"/>
      <c r="J7" s="44"/>
      <c r="K7" s="44"/>
    </row>
    <row r="8" spans="1:11" x14ac:dyDescent="0.2">
      <c r="A8" s="15" t="s">
        <v>19</v>
      </c>
      <c r="B8" s="15" t="s">
        <v>18</v>
      </c>
      <c r="C8" s="15" t="s">
        <v>20</v>
      </c>
      <c r="D8" s="15" t="s">
        <v>21</v>
      </c>
      <c r="E8" s="15" t="s">
        <v>22</v>
      </c>
      <c r="G8" s="15" t="s">
        <v>19</v>
      </c>
      <c r="H8" s="15" t="s">
        <v>18</v>
      </c>
      <c r="I8" s="15" t="s">
        <v>20</v>
      </c>
      <c r="J8" s="15" t="s">
        <v>21</v>
      </c>
      <c r="K8" s="15" t="s">
        <v>22</v>
      </c>
    </row>
    <row r="9" spans="1:11" x14ac:dyDescent="0.2">
      <c r="A9" s="16" t="s">
        <v>5</v>
      </c>
      <c r="B9" s="17">
        <f>B3</f>
        <v>5</v>
      </c>
      <c r="C9" s="18">
        <v>750000</v>
      </c>
      <c r="D9" s="19">
        <f>(C9*0.1)+C9</f>
        <v>825000</v>
      </c>
      <c r="E9" s="18">
        <f>D9*B9</f>
        <v>4125000</v>
      </c>
      <c r="G9" s="16" t="s">
        <v>5</v>
      </c>
      <c r="H9" s="17">
        <f>B3</f>
        <v>5</v>
      </c>
      <c r="I9" s="18">
        <v>1250000</v>
      </c>
      <c r="J9" s="19">
        <f>(I9*0.1)+I9</f>
        <v>1375000</v>
      </c>
      <c r="K9" s="18">
        <f>J9*H9</f>
        <v>6875000</v>
      </c>
    </row>
    <row r="10" spans="1:11" x14ac:dyDescent="0.2">
      <c r="A10" s="16" t="s">
        <v>6</v>
      </c>
      <c r="B10" s="17">
        <f>B7</f>
        <v>25</v>
      </c>
      <c r="C10" s="18">
        <f>B6</f>
        <v>331200</v>
      </c>
      <c r="D10" s="19">
        <f t="shared" ref="D10:D11" si="0">(C10*0.1)+C10</f>
        <v>364320</v>
      </c>
      <c r="E10" s="18">
        <f>D10*B10</f>
        <v>9108000</v>
      </c>
      <c r="G10" s="16" t="s">
        <v>6</v>
      </c>
      <c r="H10" s="17">
        <f>H7</f>
        <v>40</v>
      </c>
      <c r="I10" s="18">
        <f>H6</f>
        <v>280000</v>
      </c>
      <c r="J10" s="19">
        <f t="shared" ref="J10:J11" si="1">(I10*0.1)+I10</f>
        <v>308000</v>
      </c>
      <c r="K10" s="18">
        <f t="shared" ref="K10:K11" si="2">J10*H10</f>
        <v>12320000</v>
      </c>
    </row>
    <row r="11" spans="1:11" x14ac:dyDescent="0.2">
      <c r="A11" s="16" t="s">
        <v>7</v>
      </c>
      <c r="B11" s="17">
        <f>(ROUNDUP(ROUNDDOWN(B2/108,0)/2,0))*B3</f>
        <v>15</v>
      </c>
      <c r="C11" s="18">
        <v>250000</v>
      </c>
      <c r="D11" s="19">
        <f t="shared" si="0"/>
        <v>275000</v>
      </c>
      <c r="E11" s="18">
        <f>D11*B11</f>
        <v>4125000</v>
      </c>
      <c r="G11" s="16" t="s">
        <v>7</v>
      </c>
      <c r="H11" s="17">
        <f>H10</f>
        <v>40</v>
      </c>
      <c r="I11" s="18">
        <v>250000</v>
      </c>
      <c r="J11" s="19">
        <f t="shared" si="1"/>
        <v>275000</v>
      </c>
      <c r="K11" s="18">
        <f t="shared" si="2"/>
        <v>11000000</v>
      </c>
    </row>
    <row r="12" spans="1:11" x14ac:dyDescent="0.2">
      <c r="A12" s="20" t="s">
        <v>8</v>
      </c>
      <c r="B12" s="21"/>
      <c r="C12" s="20"/>
      <c r="D12" s="20"/>
      <c r="E12" s="22">
        <f>SUM(E9:E11)</f>
        <v>17358000</v>
      </c>
      <c r="G12" s="20" t="s">
        <v>8</v>
      </c>
      <c r="H12" s="21"/>
      <c r="I12" s="20"/>
      <c r="J12" s="20"/>
      <c r="K12" s="22">
        <f>SUM(K9:K11)</f>
        <v>30195000</v>
      </c>
    </row>
    <row r="13" spans="1:11" x14ac:dyDescent="0.2">
      <c r="A13" s="11" t="s">
        <v>11</v>
      </c>
      <c r="B13" s="23">
        <v>1</v>
      </c>
      <c r="C13" s="24">
        <f>2000000</f>
        <v>2000000</v>
      </c>
      <c r="D13" s="24">
        <f>(C13*0.3)+C13</f>
        <v>2600000</v>
      </c>
      <c r="E13" s="24">
        <f>D13*B13</f>
        <v>2600000</v>
      </c>
      <c r="G13" s="11" t="s">
        <v>31</v>
      </c>
      <c r="H13" s="23">
        <v>2</v>
      </c>
      <c r="I13" s="24">
        <v>350000</v>
      </c>
      <c r="J13" s="24">
        <f>(I13*0.1)+I13</f>
        <v>385000</v>
      </c>
      <c r="K13" s="24">
        <f>J13*H13</f>
        <v>770000</v>
      </c>
    </row>
    <row r="14" spans="1:11" x14ac:dyDescent="0.2">
      <c r="A14" s="11" t="s">
        <v>34</v>
      </c>
      <c r="B14" s="23">
        <v>1</v>
      </c>
      <c r="C14" s="24">
        <v>1200000</v>
      </c>
      <c r="D14" s="24">
        <f>(C14*0.3)+C14</f>
        <v>1560000</v>
      </c>
      <c r="E14" s="24">
        <f t="shared" ref="E14:E27" si="3">D14*B14</f>
        <v>1560000</v>
      </c>
      <c r="G14" s="11" t="s">
        <v>13</v>
      </c>
      <c r="H14" s="23">
        <v>1</v>
      </c>
      <c r="I14" s="24">
        <v>1000000</v>
      </c>
      <c r="J14" s="24">
        <f>(I14*0.1)+I14</f>
        <v>1100000</v>
      </c>
      <c r="K14" s="24">
        <f t="shared" ref="K14:K27" si="4">J14*H14</f>
        <v>1100000</v>
      </c>
    </row>
    <row r="15" spans="1:11" x14ac:dyDescent="0.2">
      <c r="A15" s="11" t="s">
        <v>31</v>
      </c>
      <c r="B15" s="23">
        <v>2</v>
      </c>
      <c r="C15" s="24">
        <v>600000</v>
      </c>
      <c r="D15" s="24">
        <f t="shared" ref="D15:D23" si="5">(C15*0.1)+C15</f>
        <v>660000</v>
      </c>
      <c r="E15" s="24">
        <f t="shared" si="3"/>
        <v>1320000</v>
      </c>
      <c r="G15" s="11" t="s">
        <v>10</v>
      </c>
      <c r="H15" s="23">
        <v>1</v>
      </c>
      <c r="I15" s="24">
        <v>4200000</v>
      </c>
      <c r="J15" s="24">
        <f>(I15*0.3)+I15</f>
        <v>5460000</v>
      </c>
      <c r="K15" s="24">
        <f t="shared" si="4"/>
        <v>5460000</v>
      </c>
    </row>
    <row r="16" spans="1:11" x14ac:dyDescent="0.2">
      <c r="A16" s="11" t="s">
        <v>39</v>
      </c>
      <c r="B16" s="23">
        <v>1</v>
      </c>
      <c r="C16" s="24">
        <v>300000</v>
      </c>
      <c r="D16" s="24">
        <f t="shared" si="5"/>
        <v>330000</v>
      </c>
      <c r="E16" s="24">
        <f>D16*B16</f>
        <v>330000</v>
      </c>
      <c r="G16" s="11"/>
      <c r="H16" s="23"/>
      <c r="I16" s="24"/>
      <c r="J16" s="24"/>
      <c r="K16" s="24"/>
    </row>
    <row r="17" spans="1:11" x14ac:dyDescent="0.2">
      <c r="A17" s="11" t="s">
        <v>35</v>
      </c>
      <c r="B17" s="23">
        <v>1</v>
      </c>
      <c r="C17" s="24">
        <v>1500000</v>
      </c>
      <c r="D17" s="24">
        <f t="shared" ref="D17:D22" si="6">(C17*0.3)+C17</f>
        <v>1950000</v>
      </c>
      <c r="E17" s="24">
        <f t="shared" si="3"/>
        <v>1950000</v>
      </c>
      <c r="G17" s="11" t="s">
        <v>11</v>
      </c>
      <c r="H17" s="23">
        <v>1</v>
      </c>
      <c r="I17" s="24">
        <v>506450</v>
      </c>
      <c r="J17" s="24">
        <f t="shared" ref="J17:J23" si="7">(I17*0.3)+I17</f>
        <v>658385</v>
      </c>
      <c r="K17" s="24">
        <f t="shared" si="4"/>
        <v>658385</v>
      </c>
    </row>
    <row r="18" spans="1:11" x14ac:dyDescent="0.2">
      <c r="A18" s="11" t="s">
        <v>48</v>
      </c>
      <c r="B18" s="23">
        <v>1</v>
      </c>
      <c r="C18" s="24">
        <v>1200000</v>
      </c>
      <c r="D18" s="24">
        <f t="shared" si="6"/>
        <v>1560000</v>
      </c>
      <c r="E18" s="24">
        <f t="shared" si="3"/>
        <v>1560000</v>
      </c>
      <c r="G18" s="11" t="s">
        <v>23</v>
      </c>
      <c r="H18" s="23">
        <v>1</v>
      </c>
      <c r="I18" s="24">
        <v>300000</v>
      </c>
      <c r="J18" s="24">
        <f t="shared" si="7"/>
        <v>390000</v>
      </c>
      <c r="K18" s="24">
        <f t="shared" si="4"/>
        <v>390000</v>
      </c>
    </row>
    <row r="19" spans="1:11" x14ac:dyDescent="0.2">
      <c r="A19" s="11" t="s">
        <v>45</v>
      </c>
      <c r="B19" s="23">
        <v>1</v>
      </c>
      <c r="C19" s="24">
        <v>1650000</v>
      </c>
      <c r="D19" s="24">
        <f t="shared" si="6"/>
        <v>2145000</v>
      </c>
      <c r="E19" s="24">
        <f t="shared" si="3"/>
        <v>2145000</v>
      </c>
      <c r="G19" s="11"/>
      <c r="H19" s="23"/>
      <c r="I19" s="24"/>
      <c r="J19" s="24"/>
      <c r="K19" s="24"/>
    </row>
    <row r="20" spans="1:11" x14ac:dyDescent="0.2">
      <c r="A20" s="11" t="s">
        <v>23</v>
      </c>
      <c r="B20" s="23">
        <v>1</v>
      </c>
      <c r="C20" s="24">
        <f>600000</f>
        <v>600000</v>
      </c>
      <c r="D20" s="24">
        <f t="shared" si="6"/>
        <v>780000</v>
      </c>
      <c r="E20" s="24">
        <f t="shared" si="3"/>
        <v>780000</v>
      </c>
      <c r="G20" s="11" t="s">
        <v>24</v>
      </c>
      <c r="H20" s="23">
        <v>1</v>
      </c>
      <c r="I20" s="24">
        <v>2000000</v>
      </c>
      <c r="J20" s="24">
        <f t="shared" si="7"/>
        <v>2600000</v>
      </c>
      <c r="K20" s="24">
        <f t="shared" si="4"/>
        <v>2600000</v>
      </c>
    </row>
    <row r="21" spans="1:11" x14ac:dyDescent="0.2">
      <c r="A21" s="11" t="s">
        <v>46</v>
      </c>
      <c r="B21" s="23">
        <v>1</v>
      </c>
      <c r="C21" s="24">
        <v>1700000</v>
      </c>
      <c r="D21" s="24">
        <f>(C21*0.3)+C21</f>
        <v>2210000</v>
      </c>
      <c r="E21" s="24">
        <f t="shared" si="3"/>
        <v>2210000</v>
      </c>
      <c r="G21" s="11"/>
      <c r="H21" s="23"/>
      <c r="I21" s="24"/>
      <c r="J21" s="24"/>
      <c r="K21" s="24"/>
    </row>
    <row r="22" spans="1:11" x14ac:dyDescent="0.2">
      <c r="A22" s="11" t="s">
        <v>47</v>
      </c>
      <c r="B22" s="23">
        <v>1</v>
      </c>
      <c r="C22" s="24">
        <v>1018653</v>
      </c>
      <c r="D22" s="24">
        <f t="shared" si="6"/>
        <v>1324248.8999999999</v>
      </c>
      <c r="E22" s="24">
        <f t="shared" si="3"/>
        <v>1324248.8999999999</v>
      </c>
      <c r="G22" s="11"/>
      <c r="H22" s="23"/>
      <c r="I22" s="24"/>
      <c r="J22" s="24"/>
      <c r="K22" s="24"/>
    </row>
    <row r="23" spans="1:11" x14ac:dyDescent="0.2">
      <c r="A23" s="11" t="s">
        <v>37</v>
      </c>
      <c r="B23" s="23">
        <v>1</v>
      </c>
      <c r="C23" s="24">
        <v>800000</v>
      </c>
      <c r="D23" s="24">
        <f t="shared" si="5"/>
        <v>880000</v>
      </c>
      <c r="E23" s="24">
        <f>D23*B23</f>
        <v>880000</v>
      </c>
      <c r="G23" s="11" t="s">
        <v>12</v>
      </c>
      <c r="H23" s="23">
        <v>1</v>
      </c>
      <c r="I23" s="24">
        <v>1500000</v>
      </c>
      <c r="J23" s="24">
        <f t="shared" si="7"/>
        <v>1950000</v>
      </c>
      <c r="K23" s="24">
        <f t="shared" si="4"/>
        <v>1950000</v>
      </c>
    </row>
    <row r="24" spans="1:11" x14ac:dyDescent="0.2">
      <c r="A24" s="11" t="s">
        <v>40</v>
      </c>
      <c r="B24" s="23">
        <v>1</v>
      </c>
      <c r="C24" s="24">
        <v>2300000</v>
      </c>
      <c r="D24" s="24">
        <f>(C24*0.1)+C24</f>
        <v>2530000</v>
      </c>
      <c r="E24" s="24">
        <f>C24*B24</f>
        <v>2300000</v>
      </c>
      <c r="G24" s="11"/>
      <c r="H24" s="23"/>
      <c r="I24" s="24"/>
      <c r="J24" s="24"/>
      <c r="K24" s="24"/>
    </row>
    <row r="25" spans="1:11" x14ac:dyDescent="0.2">
      <c r="A25" s="11" t="s">
        <v>53</v>
      </c>
      <c r="B25" s="23">
        <v>0</v>
      </c>
      <c r="C25" s="24">
        <v>2200000</v>
      </c>
      <c r="D25" s="24">
        <f>(C25*0.1)+C25</f>
        <v>2420000</v>
      </c>
      <c r="E25" s="24">
        <f>C25*B25</f>
        <v>0</v>
      </c>
      <c r="G25" s="11"/>
      <c r="H25" s="23"/>
      <c r="I25" s="24"/>
      <c r="J25" s="24"/>
      <c r="K25" s="24"/>
    </row>
    <row r="26" spans="1:11" x14ac:dyDescent="0.2">
      <c r="A26" s="11" t="s">
        <v>41</v>
      </c>
      <c r="B26" s="23">
        <v>1</v>
      </c>
      <c r="C26" s="24">
        <v>2000000</v>
      </c>
      <c r="D26" s="24">
        <f>(C26*0.1)+C26</f>
        <v>2200000</v>
      </c>
      <c r="E26" s="24">
        <f>C26*B26</f>
        <v>2000000</v>
      </c>
      <c r="G26" s="11"/>
      <c r="H26" s="23"/>
      <c r="I26" s="24"/>
      <c r="J26" s="24"/>
      <c r="K26" s="24"/>
    </row>
    <row r="27" spans="1:11" x14ac:dyDescent="0.2">
      <c r="A27" s="11" t="s">
        <v>38</v>
      </c>
      <c r="B27" s="23">
        <v>1</v>
      </c>
      <c r="C27" s="24">
        <v>700000</v>
      </c>
      <c r="D27" s="24">
        <f>(C27*0.3)+C27</f>
        <v>910000</v>
      </c>
      <c r="E27" s="24">
        <f t="shared" si="3"/>
        <v>910000</v>
      </c>
      <c r="G27" s="11" t="s">
        <v>26</v>
      </c>
      <c r="H27" s="23">
        <v>0</v>
      </c>
      <c r="I27" s="24">
        <v>2000000</v>
      </c>
      <c r="J27" s="24">
        <f>(I27*0.1)+I27</f>
        <v>2200000</v>
      </c>
      <c r="K27" s="24">
        <f t="shared" si="4"/>
        <v>0</v>
      </c>
    </row>
    <row r="28" spans="1:11" x14ac:dyDescent="0.2">
      <c r="A28" s="45" t="s">
        <v>27</v>
      </c>
      <c r="B28" s="45"/>
      <c r="C28" s="45"/>
      <c r="D28" s="45"/>
      <c r="E28" s="25">
        <f>SUM(E12:E27)</f>
        <v>39227248.899999999</v>
      </c>
      <c r="G28" s="45" t="s">
        <v>27</v>
      </c>
      <c r="H28" s="45"/>
      <c r="I28" s="45"/>
      <c r="J28" s="45"/>
      <c r="K28" s="25">
        <f>SUM(K12:K27)</f>
        <v>43123385</v>
      </c>
    </row>
    <row r="29" spans="1:11" x14ac:dyDescent="0.2">
      <c r="A29" s="26" t="s">
        <v>28</v>
      </c>
      <c r="B29" s="27">
        <v>0.2</v>
      </c>
      <c r="C29" s="26"/>
      <c r="D29" s="26"/>
      <c r="E29" s="28">
        <f>E28/0.8</f>
        <v>49034061.124999993</v>
      </c>
      <c r="G29" s="26" t="s">
        <v>28</v>
      </c>
      <c r="H29" s="27">
        <v>0.15</v>
      </c>
      <c r="I29" s="26"/>
      <c r="J29" s="26"/>
      <c r="K29" s="28">
        <f>K28/0.85</f>
        <v>50733394.117647059</v>
      </c>
    </row>
    <row r="30" spans="1:11" x14ac:dyDescent="0.2">
      <c r="A30" s="29" t="s">
        <v>29</v>
      </c>
      <c r="B30" s="30">
        <v>0.1</v>
      </c>
      <c r="C30" s="29"/>
      <c r="D30" s="29"/>
      <c r="E30" s="31">
        <f>E29/0.9</f>
        <v>54482290.138888881</v>
      </c>
      <c r="G30" s="29" t="s">
        <v>29</v>
      </c>
      <c r="H30" s="30">
        <v>0.1</v>
      </c>
      <c r="I30" s="29"/>
      <c r="J30" s="29"/>
      <c r="K30" s="31">
        <f>K29/0.9</f>
        <v>56370437.90849673</v>
      </c>
    </row>
  </sheetData>
  <mergeCells count="8">
    <mergeCell ref="A28:D28"/>
    <mergeCell ref="G28:J28"/>
    <mergeCell ref="A5:B5"/>
    <mergeCell ref="G5:K5"/>
    <mergeCell ref="B6:E6"/>
    <mergeCell ref="H6:K6"/>
    <mergeCell ref="B7:E7"/>
    <mergeCell ref="H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71D7-3299-4CDD-9A33-7AD06B18F09E}">
  <dimension ref="A1:V30"/>
  <sheetViews>
    <sheetView topLeftCell="A9" zoomScaleNormal="100" zoomScaleSheetLayoutView="100" workbookViewId="0">
      <selection activeCell="O16" sqref="O16"/>
    </sheetView>
  </sheetViews>
  <sheetFormatPr baseColWidth="10" defaultColWidth="8.5" defaultRowHeight="14" x14ac:dyDescent="0.2"/>
  <cols>
    <col min="1" max="1" width="23.83203125" style="1" customWidth="1"/>
    <col min="2" max="2" width="10.5" style="1" customWidth="1"/>
    <col min="3" max="3" width="14.1640625" style="5" customWidth="1"/>
    <col min="4" max="4" width="14.1640625" style="1" customWidth="1"/>
    <col min="5" max="5" width="14.1640625" style="5" customWidth="1"/>
    <col min="6" max="6" width="4.6640625" style="1" customWidth="1"/>
    <col min="7" max="7" width="23.83203125" style="5" hidden="1" customWidth="1"/>
    <col min="8" max="8" width="10.5" style="1" hidden="1" customWidth="1"/>
    <col min="9" max="9" width="14.1640625" style="5" hidden="1" customWidth="1"/>
    <col min="10" max="11" width="14.1640625" style="1" hidden="1" customWidth="1"/>
    <col min="12" max="12" width="4.6640625" style="1" hidden="1" customWidth="1"/>
    <col min="13" max="16" width="8.5" style="1"/>
    <col min="17" max="17" width="16.6640625" style="1" customWidth="1"/>
    <col min="18" max="18" width="13.83203125" style="1" customWidth="1"/>
    <col min="19" max="20" width="14.33203125" style="1" customWidth="1"/>
    <col min="21" max="21" width="14.1640625" style="1" bestFit="1" customWidth="1"/>
    <col min="22" max="16384" width="8.5" style="1"/>
  </cols>
  <sheetData>
    <row r="1" spans="1:22" ht="16" x14ac:dyDescent="0.2">
      <c r="A1" s="2" t="s">
        <v>9</v>
      </c>
      <c r="B1" s="3"/>
      <c r="C1" s="4"/>
      <c r="D1" s="6"/>
    </row>
    <row r="2" spans="1:22" x14ac:dyDescent="0.2">
      <c r="A2" s="32" t="s">
        <v>15</v>
      </c>
      <c r="B2" s="12">
        <v>756</v>
      </c>
      <c r="D2" s="6"/>
    </row>
    <row r="3" spans="1:22" ht="15" x14ac:dyDescent="0.2">
      <c r="A3" s="32" t="s">
        <v>17</v>
      </c>
      <c r="B3" s="12">
        <v>4</v>
      </c>
      <c r="D3" s="6"/>
      <c r="O3"/>
      <c r="P3"/>
      <c r="Q3"/>
      <c r="R3"/>
      <c r="S3"/>
      <c r="T3"/>
      <c r="U3"/>
      <c r="V3"/>
    </row>
    <row r="4" spans="1:22" ht="15" x14ac:dyDescent="0.2">
      <c r="A4" s="34"/>
      <c r="B4" s="35"/>
      <c r="D4" s="6"/>
      <c r="O4"/>
      <c r="P4"/>
      <c r="Q4"/>
      <c r="R4"/>
      <c r="S4"/>
      <c r="T4"/>
      <c r="U4"/>
      <c r="V4"/>
    </row>
    <row r="5" spans="1:22" ht="15" x14ac:dyDescent="0.2">
      <c r="A5" s="46" t="s">
        <v>0</v>
      </c>
      <c r="B5" s="46"/>
      <c r="C5" s="38"/>
      <c r="D5" s="38"/>
      <c r="E5" s="39"/>
      <c r="G5" s="47" t="s">
        <v>1</v>
      </c>
      <c r="H5" s="47"/>
      <c r="I5" s="47"/>
      <c r="J5" s="47"/>
      <c r="K5" s="47"/>
      <c r="O5"/>
      <c r="P5"/>
      <c r="Q5"/>
      <c r="R5"/>
      <c r="S5"/>
      <c r="T5"/>
      <c r="U5"/>
      <c r="V5"/>
    </row>
    <row r="6" spans="1:22" ht="15" x14ac:dyDescent="0.2">
      <c r="A6" s="13" t="s">
        <v>3</v>
      </c>
      <c r="B6" s="48">
        <f>5900*89</f>
        <v>525100</v>
      </c>
      <c r="C6" s="48"/>
      <c r="D6" s="48"/>
      <c r="E6" s="48"/>
      <c r="G6" s="13" t="s">
        <v>3</v>
      </c>
      <c r="H6" s="48">
        <f>280000</f>
        <v>280000</v>
      </c>
      <c r="I6" s="48"/>
      <c r="J6" s="48"/>
      <c r="K6" s="48"/>
      <c r="O6"/>
      <c r="P6"/>
      <c r="Q6"/>
      <c r="R6"/>
      <c r="S6"/>
      <c r="T6"/>
      <c r="U6"/>
      <c r="V6"/>
    </row>
    <row r="7" spans="1:22" ht="15" x14ac:dyDescent="0.2">
      <c r="A7" s="14" t="s">
        <v>4</v>
      </c>
      <c r="B7" s="44">
        <f>((ROUNDDOWN((B2/108),0))*B3)</f>
        <v>28</v>
      </c>
      <c r="C7" s="44"/>
      <c r="D7" s="44"/>
      <c r="E7" s="44"/>
      <c r="G7" s="14" t="s">
        <v>4</v>
      </c>
      <c r="H7" s="44">
        <f>((ROUNDDOWN((B2/61.2),0))*B3)</f>
        <v>48</v>
      </c>
      <c r="I7" s="44"/>
      <c r="J7" s="44"/>
      <c r="K7" s="44"/>
      <c r="O7"/>
      <c r="P7"/>
      <c r="Q7"/>
      <c r="R7"/>
      <c r="S7"/>
      <c r="T7"/>
      <c r="U7"/>
      <c r="V7"/>
    </row>
    <row r="8" spans="1:22" ht="15" x14ac:dyDescent="0.2">
      <c r="A8" s="15" t="s">
        <v>19</v>
      </c>
      <c r="B8" s="15" t="s">
        <v>18</v>
      </c>
      <c r="C8" s="15" t="s">
        <v>20</v>
      </c>
      <c r="D8" s="15" t="s">
        <v>21</v>
      </c>
      <c r="E8" s="15" t="s">
        <v>22</v>
      </c>
      <c r="G8" s="15" t="s">
        <v>19</v>
      </c>
      <c r="H8" s="15" t="s">
        <v>18</v>
      </c>
      <c r="I8" s="15" t="s">
        <v>20</v>
      </c>
      <c r="J8" s="15" t="s">
        <v>21</v>
      </c>
      <c r="K8" s="15" t="s">
        <v>22</v>
      </c>
      <c r="O8"/>
      <c r="P8"/>
      <c r="Q8"/>
      <c r="R8"/>
      <c r="S8"/>
      <c r="T8"/>
      <c r="U8"/>
      <c r="V8"/>
    </row>
    <row r="9" spans="1:22" ht="15" x14ac:dyDescent="0.2">
      <c r="A9" s="16" t="s">
        <v>5</v>
      </c>
      <c r="B9" s="17">
        <f>B3</f>
        <v>4</v>
      </c>
      <c r="C9" s="18">
        <v>1250000</v>
      </c>
      <c r="D9" s="19">
        <f>(C9*0.1)+C9</f>
        <v>1375000</v>
      </c>
      <c r="E9" s="18">
        <f>D9*B9</f>
        <v>5500000</v>
      </c>
      <c r="G9" s="16" t="s">
        <v>5</v>
      </c>
      <c r="H9" s="17">
        <f>B3</f>
        <v>4</v>
      </c>
      <c r="I9" s="18">
        <v>1250000</v>
      </c>
      <c r="J9" s="19">
        <f>(I9*0.1)+I9</f>
        <v>1375000</v>
      </c>
      <c r="K9" s="18">
        <f>J9*H9</f>
        <v>5500000</v>
      </c>
      <c r="O9"/>
      <c r="P9"/>
      <c r="Q9"/>
      <c r="R9"/>
      <c r="S9"/>
      <c r="T9"/>
      <c r="U9"/>
      <c r="V9"/>
    </row>
    <row r="10" spans="1:22" ht="15" x14ac:dyDescent="0.2">
      <c r="A10" s="16" t="s">
        <v>6</v>
      </c>
      <c r="B10" s="17">
        <f>B7</f>
        <v>28</v>
      </c>
      <c r="C10" s="18">
        <f>B6</f>
        <v>525100</v>
      </c>
      <c r="D10" s="19">
        <f t="shared" ref="D10:D11" si="0">(C10*0.1)+C10</f>
        <v>577610</v>
      </c>
      <c r="E10" s="18">
        <f>D10*B10</f>
        <v>16173080</v>
      </c>
      <c r="G10" s="16" t="s">
        <v>6</v>
      </c>
      <c r="H10" s="17">
        <f>H7</f>
        <v>48</v>
      </c>
      <c r="I10" s="18">
        <f>H6</f>
        <v>280000</v>
      </c>
      <c r="J10" s="19">
        <f t="shared" ref="J10:J11" si="1">(I10*0.1)+I10</f>
        <v>308000</v>
      </c>
      <c r="K10" s="18">
        <f t="shared" ref="K10:K11" si="2">J10*H10</f>
        <v>14784000</v>
      </c>
      <c r="O10"/>
      <c r="P10"/>
      <c r="Q10"/>
      <c r="R10"/>
      <c r="S10"/>
      <c r="T10"/>
      <c r="U10"/>
      <c r="V10"/>
    </row>
    <row r="11" spans="1:22" ht="15" x14ac:dyDescent="0.2">
      <c r="A11" s="16" t="s">
        <v>7</v>
      </c>
      <c r="B11" s="17">
        <f>B10</f>
        <v>28</v>
      </c>
      <c r="C11" s="18">
        <v>250000</v>
      </c>
      <c r="D11" s="19">
        <f t="shared" si="0"/>
        <v>275000</v>
      </c>
      <c r="E11" s="18">
        <f>D11*B11</f>
        <v>7700000</v>
      </c>
      <c r="G11" s="16" t="s">
        <v>7</v>
      </c>
      <c r="H11" s="17">
        <f>H10</f>
        <v>48</v>
      </c>
      <c r="I11" s="18">
        <v>250000</v>
      </c>
      <c r="J11" s="19">
        <f t="shared" si="1"/>
        <v>275000</v>
      </c>
      <c r="K11" s="18">
        <f t="shared" si="2"/>
        <v>13200000</v>
      </c>
      <c r="O11"/>
      <c r="P11"/>
      <c r="Q11"/>
      <c r="R11"/>
      <c r="S11"/>
      <c r="T11"/>
      <c r="U11"/>
      <c r="V11"/>
    </row>
    <row r="12" spans="1:22" ht="15" x14ac:dyDescent="0.2">
      <c r="A12" s="20" t="s">
        <v>8</v>
      </c>
      <c r="B12" s="21"/>
      <c r="C12" s="20"/>
      <c r="D12" s="20"/>
      <c r="E12" s="22">
        <f>SUM(E9:E11)</f>
        <v>29373080</v>
      </c>
      <c r="G12" s="20" t="s">
        <v>8</v>
      </c>
      <c r="H12" s="21"/>
      <c r="I12" s="20"/>
      <c r="J12" s="20"/>
      <c r="K12" s="22">
        <f>SUM(K9:K11)</f>
        <v>33484000</v>
      </c>
      <c r="O12"/>
      <c r="P12"/>
      <c r="Q12"/>
      <c r="R12"/>
      <c r="S12"/>
      <c r="T12"/>
      <c r="U12"/>
      <c r="V12"/>
    </row>
    <row r="13" spans="1:22" ht="15" x14ac:dyDescent="0.2">
      <c r="A13" s="11" t="s">
        <v>11</v>
      </c>
      <c r="B13" s="23">
        <v>1</v>
      </c>
      <c r="C13" s="24">
        <f>2000000</f>
        <v>2000000</v>
      </c>
      <c r="D13" s="24">
        <f>(C13*0.3)+C13</f>
        <v>2600000</v>
      </c>
      <c r="E13" s="24">
        <f>D13*B13</f>
        <v>2600000</v>
      </c>
      <c r="G13" s="11" t="s">
        <v>31</v>
      </c>
      <c r="H13" s="23">
        <v>2</v>
      </c>
      <c r="I13" s="24">
        <v>350000</v>
      </c>
      <c r="J13" s="24">
        <f>(I13*0.1)+I13</f>
        <v>385000</v>
      </c>
      <c r="K13" s="24">
        <f>J13*H13</f>
        <v>770000</v>
      </c>
      <c r="O13"/>
      <c r="P13"/>
      <c r="Q13"/>
      <c r="R13"/>
      <c r="S13"/>
      <c r="T13"/>
      <c r="U13"/>
      <c r="V13"/>
    </row>
    <row r="14" spans="1:22" ht="15" x14ac:dyDescent="0.2">
      <c r="A14" s="11" t="s">
        <v>34</v>
      </c>
      <c r="B14" s="23">
        <v>1</v>
      </c>
      <c r="C14" s="24">
        <v>1200000</v>
      </c>
      <c r="D14" s="24">
        <f>(C14*0.3)+C14</f>
        <v>1560000</v>
      </c>
      <c r="E14" s="24">
        <f t="shared" ref="E14:E26" si="3">D14*B14</f>
        <v>1560000</v>
      </c>
      <c r="G14" s="11" t="s">
        <v>13</v>
      </c>
      <c r="H14" s="23">
        <v>1</v>
      </c>
      <c r="I14" s="24">
        <v>1000000</v>
      </c>
      <c r="J14" s="24">
        <f>(I14*0.1)+I14</f>
        <v>1100000</v>
      </c>
      <c r="K14" s="24">
        <f t="shared" ref="K14:K27" si="4">J14*H14</f>
        <v>1100000</v>
      </c>
      <c r="O14"/>
      <c r="P14"/>
      <c r="Q14"/>
      <c r="R14"/>
      <c r="S14"/>
      <c r="T14"/>
      <c r="U14"/>
      <c r="V14"/>
    </row>
    <row r="15" spans="1:22" ht="15" x14ac:dyDescent="0.2">
      <c r="A15" s="11" t="s">
        <v>31</v>
      </c>
      <c r="B15" s="23">
        <v>1</v>
      </c>
      <c r="C15" s="24">
        <v>600000</v>
      </c>
      <c r="D15" s="24">
        <f t="shared" ref="D15:D23" si="5">(C15*0.1)+C15</f>
        <v>660000</v>
      </c>
      <c r="E15" s="24">
        <f t="shared" si="3"/>
        <v>660000</v>
      </c>
      <c r="G15" s="11" t="s">
        <v>10</v>
      </c>
      <c r="H15" s="23">
        <v>1</v>
      </c>
      <c r="I15" s="24">
        <v>4200000</v>
      </c>
      <c r="J15" s="24">
        <f>(I15*0.3)+I15</f>
        <v>5460000</v>
      </c>
      <c r="K15" s="24">
        <f t="shared" si="4"/>
        <v>5460000</v>
      </c>
      <c r="O15"/>
      <c r="P15"/>
      <c r="Q15"/>
      <c r="R15"/>
      <c r="S15"/>
      <c r="T15"/>
      <c r="U15"/>
      <c r="V15"/>
    </row>
    <row r="16" spans="1:22" ht="15" x14ac:dyDescent="0.2">
      <c r="A16" s="11" t="s">
        <v>39</v>
      </c>
      <c r="B16" s="23">
        <v>2</v>
      </c>
      <c r="C16" s="24">
        <v>300000</v>
      </c>
      <c r="D16" s="24">
        <f t="shared" si="5"/>
        <v>330000</v>
      </c>
      <c r="E16" s="24">
        <f>D16*B16</f>
        <v>660000</v>
      </c>
      <c r="G16" s="11"/>
      <c r="H16" s="23"/>
      <c r="I16" s="24"/>
      <c r="J16" s="24"/>
      <c r="K16" s="24"/>
      <c r="O16"/>
      <c r="P16"/>
      <c r="Q16"/>
      <c r="R16"/>
      <c r="S16"/>
      <c r="T16"/>
      <c r="U16"/>
      <c r="V16"/>
    </row>
    <row r="17" spans="1:22" ht="15" x14ac:dyDescent="0.2">
      <c r="A17" s="11" t="s">
        <v>35</v>
      </c>
      <c r="B17" s="23">
        <v>0</v>
      </c>
      <c r="C17" s="24">
        <v>1500000</v>
      </c>
      <c r="D17" s="24">
        <f t="shared" ref="D17:D22" si="6">(C17*0.3)+C17</f>
        <v>1950000</v>
      </c>
      <c r="E17" s="24">
        <f t="shared" si="3"/>
        <v>0</v>
      </c>
      <c r="G17" s="11"/>
      <c r="H17" s="23"/>
      <c r="I17" s="24"/>
      <c r="J17" s="24"/>
      <c r="K17" s="24"/>
      <c r="O17"/>
      <c r="P17"/>
      <c r="Q17"/>
      <c r="R17"/>
      <c r="S17"/>
      <c r="T17"/>
      <c r="U17"/>
      <c r="V17"/>
    </row>
    <row r="18" spans="1:22" ht="14.5" customHeight="1" x14ac:dyDescent="0.2">
      <c r="A18" s="11" t="s">
        <v>48</v>
      </c>
      <c r="B18" s="23">
        <v>0</v>
      </c>
      <c r="C18" s="24">
        <v>1200000</v>
      </c>
      <c r="D18" s="24">
        <f t="shared" si="6"/>
        <v>1560000</v>
      </c>
      <c r="E18" s="24">
        <f t="shared" si="3"/>
        <v>0</v>
      </c>
      <c r="G18" s="11" t="s">
        <v>11</v>
      </c>
      <c r="H18" s="23">
        <v>1</v>
      </c>
      <c r="I18" s="24">
        <v>506450</v>
      </c>
      <c r="J18" s="24">
        <f t="shared" ref="J18:J24" si="7">(I18*0.3)+I18</f>
        <v>658385</v>
      </c>
      <c r="K18" s="24">
        <f t="shared" si="4"/>
        <v>658385</v>
      </c>
      <c r="O18"/>
      <c r="P18"/>
      <c r="Q18"/>
      <c r="R18"/>
      <c r="S18"/>
      <c r="T18"/>
      <c r="U18"/>
      <c r="V18"/>
    </row>
    <row r="19" spans="1:22" ht="14.5" customHeight="1" x14ac:dyDescent="0.2">
      <c r="A19" s="11" t="s">
        <v>45</v>
      </c>
      <c r="B19" s="23">
        <v>0</v>
      </c>
      <c r="C19" s="24">
        <v>1650000</v>
      </c>
      <c r="D19" s="24">
        <f t="shared" si="6"/>
        <v>2145000</v>
      </c>
      <c r="E19" s="24">
        <f t="shared" ref="E19" si="8">D19*B19</f>
        <v>0</v>
      </c>
      <c r="G19" s="11" t="s">
        <v>23</v>
      </c>
      <c r="H19" s="23">
        <v>1</v>
      </c>
      <c r="I19" s="24">
        <v>300000</v>
      </c>
      <c r="J19" s="24">
        <f t="shared" si="7"/>
        <v>390000</v>
      </c>
      <c r="K19" s="24">
        <f t="shared" si="4"/>
        <v>390000</v>
      </c>
      <c r="O19"/>
      <c r="P19"/>
      <c r="Q19"/>
      <c r="R19"/>
      <c r="S19"/>
      <c r="T19"/>
      <c r="U19"/>
      <c r="V19"/>
    </row>
    <row r="20" spans="1:22" ht="15" x14ac:dyDescent="0.2">
      <c r="A20" s="11" t="s">
        <v>23</v>
      </c>
      <c r="B20" s="23">
        <v>1</v>
      </c>
      <c r="C20" s="24">
        <f>600000</f>
        <v>600000</v>
      </c>
      <c r="D20" s="24">
        <f t="shared" si="6"/>
        <v>780000</v>
      </c>
      <c r="E20" s="24">
        <f t="shared" si="3"/>
        <v>780000</v>
      </c>
      <c r="G20" s="11"/>
      <c r="H20" s="23"/>
      <c r="I20" s="24"/>
      <c r="J20" s="24"/>
      <c r="K20" s="24"/>
      <c r="O20"/>
      <c r="P20"/>
      <c r="Q20"/>
      <c r="R20"/>
      <c r="S20"/>
      <c r="T20"/>
      <c r="U20"/>
      <c r="V20"/>
    </row>
    <row r="21" spans="1:22" ht="15" x14ac:dyDescent="0.2">
      <c r="A21" s="11" t="s">
        <v>46</v>
      </c>
      <c r="B21" s="23">
        <v>0</v>
      </c>
      <c r="C21" s="24">
        <v>1700000</v>
      </c>
      <c r="D21" s="24">
        <f t="shared" si="6"/>
        <v>2210000</v>
      </c>
      <c r="E21" s="24">
        <f t="shared" ref="E21" si="9">D21*B21</f>
        <v>0</v>
      </c>
      <c r="G21" s="11" t="s">
        <v>24</v>
      </c>
      <c r="H21" s="23">
        <v>1</v>
      </c>
      <c r="I21" s="24">
        <v>2000000</v>
      </c>
      <c r="J21" s="24">
        <f t="shared" si="7"/>
        <v>2600000</v>
      </c>
      <c r="K21" s="24">
        <f t="shared" si="4"/>
        <v>2600000</v>
      </c>
      <c r="O21"/>
      <c r="P21"/>
      <c r="Q21"/>
      <c r="R21"/>
      <c r="S21"/>
      <c r="T21"/>
      <c r="U21"/>
      <c r="V21"/>
    </row>
    <row r="22" spans="1:22" ht="15" x14ac:dyDescent="0.2">
      <c r="A22" s="11" t="s">
        <v>47</v>
      </c>
      <c r="B22" s="23">
        <v>0</v>
      </c>
      <c r="C22" s="24">
        <v>1018653</v>
      </c>
      <c r="D22" s="24">
        <f t="shared" si="6"/>
        <v>1324248.8999999999</v>
      </c>
      <c r="E22" s="24">
        <f t="shared" ref="E22" si="10">D22*B22</f>
        <v>0</v>
      </c>
      <c r="G22" s="11"/>
      <c r="H22" s="23"/>
      <c r="I22" s="24"/>
      <c r="J22" s="24"/>
      <c r="K22" s="24"/>
      <c r="O22"/>
      <c r="P22"/>
      <c r="Q22"/>
      <c r="R22"/>
      <c r="S22"/>
      <c r="T22"/>
      <c r="U22"/>
      <c r="V22"/>
    </row>
    <row r="23" spans="1:22" x14ac:dyDescent="0.2">
      <c r="A23" s="11" t="s">
        <v>37</v>
      </c>
      <c r="B23" s="23">
        <v>1</v>
      </c>
      <c r="C23" s="24">
        <v>800000</v>
      </c>
      <c r="D23" s="24">
        <f t="shared" si="5"/>
        <v>880000</v>
      </c>
      <c r="E23" s="24">
        <f>D23*B23</f>
        <v>880000</v>
      </c>
      <c r="G23" s="11"/>
      <c r="H23" s="23"/>
      <c r="I23" s="24"/>
      <c r="J23" s="24"/>
      <c r="K23" s="24"/>
    </row>
    <row r="24" spans="1:22" x14ac:dyDescent="0.2">
      <c r="A24" s="11" t="s">
        <v>40</v>
      </c>
      <c r="B24" s="23">
        <v>0</v>
      </c>
      <c r="C24" s="24">
        <v>2300000</v>
      </c>
      <c r="D24" s="24">
        <f>(C24*0.1)+C24</f>
        <v>2530000</v>
      </c>
      <c r="E24" s="24">
        <f>C24*B24</f>
        <v>0</v>
      </c>
      <c r="G24" s="11" t="s">
        <v>12</v>
      </c>
      <c r="H24" s="23">
        <v>1</v>
      </c>
      <c r="I24" s="24">
        <v>1500000</v>
      </c>
      <c r="J24" s="24">
        <f t="shared" si="7"/>
        <v>1950000</v>
      </c>
      <c r="K24" s="24">
        <f t="shared" si="4"/>
        <v>1950000</v>
      </c>
    </row>
    <row r="25" spans="1:22" x14ac:dyDescent="0.2">
      <c r="A25" s="11" t="s">
        <v>41</v>
      </c>
      <c r="B25" s="23">
        <v>0</v>
      </c>
      <c r="C25" s="24">
        <v>2000000</v>
      </c>
      <c r="D25" s="24">
        <f>(C25*0.1)+C25</f>
        <v>2200000</v>
      </c>
      <c r="E25" s="24">
        <f>C25*B25</f>
        <v>0</v>
      </c>
      <c r="G25" s="11"/>
      <c r="H25" s="23"/>
      <c r="I25" s="24"/>
      <c r="J25" s="24"/>
      <c r="K25" s="24"/>
    </row>
    <row r="26" spans="1:22" x14ac:dyDescent="0.2">
      <c r="A26" s="11" t="s">
        <v>38</v>
      </c>
      <c r="B26" s="23">
        <v>0</v>
      </c>
      <c r="C26" s="24">
        <v>700000</v>
      </c>
      <c r="D26" s="24">
        <f>(C26*0.3)+C26</f>
        <v>910000</v>
      </c>
      <c r="E26" s="24">
        <f t="shared" si="3"/>
        <v>0</v>
      </c>
      <c r="G26" s="11"/>
      <c r="H26" s="23"/>
      <c r="I26" s="24"/>
      <c r="J26" s="24"/>
      <c r="K26" s="24"/>
    </row>
    <row r="27" spans="1:22" x14ac:dyDescent="0.2">
      <c r="A27" s="45" t="s">
        <v>27</v>
      </c>
      <c r="B27" s="45"/>
      <c r="C27" s="45"/>
      <c r="D27" s="45"/>
      <c r="E27" s="25">
        <f>SUM(E12:E26)</f>
        <v>36513080</v>
      </c>
      <c r="G27" s="11" t="s">
        <v>26</v>
      </c>
      <c r="H27" s="23">
        <v>0</v>
      </c>
      <c r="I27" s="24">
        <v>2000000</v>
      </c>
      <c r="J27" s="24">
        <f>(I27*0.1)+I27</f>
        <v>2200000</v>
      </c>
      <c r="K27" s="24">
        <f t="shared" si="4"/>
        <v>0</v>
      </c>
    </row>
    <row r="28" spans="1:22" x14ac:dyDescent="0.2">
      <c r="A28" s="26" t="s">
        <v>28</v>
      </c>
      <c r="B28" s="27">
        <v>0.2</v>
      </c>
      <c r="C28" s="26"/>
      <c r="D28" s="26"/>
      <c r="E28" s="28">
        <f>E27/0.8</f>
        <v>45641350</v>
      </c>
      <c r="G28" s="45" t="s">
        <v>27</v>
      </c>
      <c r="H28" s="45"/>
      <c r="I28" s="45"/>
      <c r="J28" s="45"/>
      <c r="K28" s="25">
        <f>SUM(K12:K27)</f>
        <v>46412385</v>
      </c>
    </row>
    <row r="29" spans="1:22" x14ac:dyDescent="0.2">
      <c r="A29" s="29" t="s">
        <v>29</v>
      </c>
      <c r="B29" s="30">
        <v>0.1</v>
      </c>
      <c r="C29" s="29"/>
      <c r="D29" s="29"/>
      <c r="E29" s="31">
        <f>E28/0.9</f>
        <v>50712611.111111112</v>
      </c>
      <c r="G29" s="26" t="s">
        <v>28</v>
      </c>
      <c r="H29" s="27">
        <v>0.15</v>
      </c>
      <c r="I29" s="26"/>
      <c r="J29" s="26"/>
      <c r="K29" s="28">
        <f>K28/0.85</f>
        <v>54602805.882352941</v>
      </c>
    </row>
    <row r="30" spans="1:22" x14ac:dyDescent="0.2">
      <c r="G30" s="29" t="s">
        <v>29</v>
      </c>
      <c r="H30" s="30">
        <v>0.1</v>
      </c>
      <c r="I30" s="29"/>
      <c r="J30" s="29"/>
      <c r="K30" s="31">
        <f>K29/0.9</f>
        <v>60669784.313725486</v>
      </c>
    </row>
  </sheetData>
  <mergeCells count="8">
    <mergeCell ref="B7:E7"/>
    <mergeCell ref="H7:K7"/>
    <mergeCell ref="A27:D27"/>
    <mergeCell ref="G28:J28"/>
    <mergeCell ref="A5:B5"/>
    <mergeCell ref="G5:K5"/>
    <mergeCell ref="B6:E6"/>
    <mergeCell ref="H6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98A5-390E-4335-8CF3-50F3F9DDCC3E}">
  <dimension ref="A1:M22"/>
  <sheetViews>
    <sheetView zoomScaleNormal="100" zoomScaleSheetLayoutView="100" workbookViewId="0">
      <selection activeCell="N23" sqref="N23"/>
    </sheetView>
  </sheetViews>
  <sheetFormatPr baseColWidth="10" defaultColWidth="8.5" defaultRowHeight="14" x14ac:dyDescent="0.2"/>
  <cols>
    <col min="1" max="1" width="23.83203125" style="1" customWidth="1"/>
    <col min="2" max="2" width="10.5" style="1" customWidth="1"/>
    <col min="3" max="3" width="14.1640625" style="5" customWidth="1"/>
    <col min="4" max="4" width="14.1640625" style="1" customWidth="1"/>
    <col min="5" max="5" width="14.1640625" style="5" customWidth="1"/>
    <col min="6" max="6" width="4.6640625" style="1" customWidth="1"/>
    <col min="7" max="7" width="23.83203125" style="5" hidden="1" customWidth="1"/>
    <col min="8" max="8" width="10.5" style="1" hidden="1" customWidth="1"/>
    <col min="9" max="9" width="14.1640625" style="5" hidden="1" customWidth="1"/>
    <col min="10" max="11" width="14.1640625" style="1" hidden="1" customWidth="1"/>
    <col min="12" max="12" width="4.6640625" style="1" hidden="1" customWidth="1"/>
    <col min="13" max="13" width="24.1640625" style="1" customWidth="1"/>
    <col min="14" max="16384" width="8.5" style="1"/>
  </cols>
  <sheetData>
    <row r="1" spans="1:13" ht="16" x14ac:dyDescent="0.2">
      <c r="A1" s="2" t="s">
        <v>9</v>
      </c>
      <c r="B1" s="3"/>
      <c r="C1" s="4"/>
      <c r="D1" s="6"/>
    </row>
    <row r="2" spans="1:13" x14ac:dyDescent="0.2">
      <c r="A2" s="32" t="s">
        <v>15</v>
      </c>
      <c r="B2" s="12">
        <v>324</v>
      </c>
      <c r="D2" s="6"/>
    </row>
    <row r="3" spans="1:13" x14ac:dyDescent="0.2">
      <c r="A3" s="32" t="s">
        <v>17</v>
      </c>
      <c r="B3" s="12">
        <v>1</v>
      </c>
      <c r="D3" s="6"/>
    </row>
    <row r="4" spans="1:13" x14ac:dyDescent="0.2">
      <c r="A4" s="34"/>
      <c r="B4" s="35"/>
      <c r="D4" s="6"/>
    </row>
    <row r="5" spans="1:13" x14ac:dyDescent="0.2">
      <c r="A5" s="46" t="s">
        <v>0</v>
      </c>
      <c r="B5" s="46"/>
      <c r="C5" s="38"/>
      <c r="D5" s="38"/>
      <c r="E5" s="39"/>
      <c r="G5" s="47" t="s">
        <v>1</v>
      </c>
      <c r="H5" s="47"/>
      <c r="I5" s="47"/>
      <c r="J5" s="47"/>
      <c r="K5" s="47"/>
    </row>
    <row r="6" spans="1:13" x14ac:dyDescent="0.2">
      <c r="A6" s="13" t="s">
        <v>3</v>
      </c>
      <c r="B6" s="48">
        <f>3500*89</f>
        <v>311500</v>
      </c>
      <c r="C6" s="48"/>
      <c r="D6" s="48"/>
      <c r="E6" s="48"/>
      <c r="G6" s="13" t="s">
        <v>3</v>
      </c>
      <c r="H6" s="48">
        <f>280000</f>
        <v>280000</v>
      </c>
      <c r="I6" s="48"/>
      <c r="J6" s="48"/>
      <c r="K6" s="48"/>
    </row>
    <row r="7" spans="1:13" x14ac:dyDescent="0.2">
      <c r="A7" s="14" t="s">
        <v>4</v>
      </c>
      <c r="B7" s="44">
        <f>((ROUNDDOWN((B2/108),0))*B3)</f>
        <v>3</v>
      </c>
      <c r="C7" s="44"/>
      <c r="D7" s="44"/>
      <c r="E7" s="44"/>
      <c r="G7" s="14" t="s">
        <v>4</v>
      </c>
      <c r="H7" s="44">
        <f>((ROUNDDOWN((B2/61.2),0))*B3)</f>
        <v>5</v>
      </c>
      <c r="I7" s="44"/>
      <c r="J7" s="44"/>
      <c r="K7" s="44"/>
    </row>
    <row r="8" spans="1:13" x14ac:dyDescent="0.2">
      <c r="A8" s="15" t="s">
        <v>19</v>
      </c>
      <c r="B8" s="15" t="s">
        <v>18</v>
      </c>
      <c r="C8" s="15" t="s">
        <v>20</v>
      </c>
      <c r="D8" s="15" t="s">
        <v>21</v>
      </c>
      <c r="E8" s="15" t="s">
        <v>22</v>
      </c>
      <c r="G8" s="15" t="s">
        <v>19</v>
      </c>
      <c r="H8" s="15" t="s">
        <v>18</v>
      </c>
      <c r="I8" s="15" t="s">
        <v>20</v>
      </c>
      <c r="J8" s="15" t="s">
        <v>21</v>
      </c>
      <c r="K8" s="15" t="s">
        <v>22</v>
      </c>
    </row>
    <row r="9" spans="1:13" x14ac:dyDescent="0.2">
      <c r="A9" s="16" t="s">
        <v>5</v>
      </c>
      <c r="B9" s="17">
        <f>B3</f>
        <v>1</v>
      </c>
      <c r="C9" s="18">
        <v>660000</v>
      </c>
      <c r="D9" s="19">
        <f>(C9*0.1)+C9</f>
        <v>726000</v>
      </c>
      <c r="E9" s="18">
        <f>D9*B9</f>
        <v>726000</v>
      </c>
      <c r="G9" s="16" t="s">
        <v>5</v>
      </c>
      <c r="H9" s="17">
        <f>B3</f>
        <v>1</v>
      </c>
      <c r="I9" s="18">
        <v>1250000</v>
      </c>
      <c r="J9" s="19">
        <f>(I9*0.1)+I9</f>
        <v>1375000</v>
      </c>
      <c r="K9" s="18">
        <f>J9*H9</f>
        <v>1375000</v>
      </c>
    </row>
    <row r="10" spans="1:13" x14ac:dyDescent="0.2">
      <c r="A10" s="16" t="s">
        <v>6</v>
      </c>
      <c r="B10" s="17">
        <f>B7</f>
        <v>3</v>
      </c>
      <c r="C10" s="18">
        <f>B6</f>
        <v>311500</v>
      </c>
      <c r="D10" s="19">
        <f t="shared" ref="D10:D11" si="0">(C10*0.1)+C10</f>
        <v>342650</v>
      </c>
      <c r="E10" s="18">
        <f>D10*B10</f>
        <v>1027950</v>
      </c>
      <c r="G10" s="16" t="s">
        <v>6</v>
      </c>
      <c r="H10" s="17">
        <f>H7</f>
        <v>5</v>
      </c>
      <c r="I10" s="18">
        <f>H6</f>
        <v>280000</v>
      </c>
      <c r="J10" s="19">
        <f t="shared" ref="J10:J11" si="1">(I10*0.1)+I10</f>
        <v>308000</v>
      </c>
      <c r="K10" s="18">
        <f t="shared" ref="K10:K11" si="2">J10*H10</f>
        <v>1540000</v>
      </c>
    </row>
    <row r="11" spans="1:13" x14ac:dyDescent="0.2">
      <c r="A11" s="16" t="s">
        <v>7</v>
      </c>
      <c r="B11" s="17">
        <f>(ROUNDUP(ROUNDDOWN(B2/108,0)/2,0))*B3</f>
        <v>2</v>
      </c>
      <c r="C11" s="18">
        <v>250000</v>
      </c>
      <c r="D11" s="19">
        <f t="shared" si="0"/>
        <v>275000</v>
      </c>
      <c r="E11" s="18">
        <f>D11*B11</f>
        <v>550000</v>
      </c>
      <c r="G11" s="16" t="s">
        <v>7</v>
      </c>
      <c r="H11" s="17">
        <f>H10</f>
        <v>5</v>
      </c>
      <c r="I11" s="18">
        <v>250000</v>
      </c>
      <c r="J11" s="19">
        <f t="shared" si="1"/>
        <v>275000</v>
      </c>
      <c r="K11" s="18">
        <f t="shared" si="2"/>
        <v>1375000</v>
      </c>
    </row>
    <row r="12" spans="1:13" x14ac:dyDescent="0.2">
      <c r="A12" s="20" t="s">
        <v>8</v>
      </c>
      <c r="B12" s="21"/>
      <c r="C12" s="20"/>
      <c r="D12" s="20"/>
      <c r="E12" s="22">
        <f>SUM(E9:E11)</f>
        <v>2303950</v>
      </c>
      <c r="G12" s="20" t="s">
        <v>8</v>
      </c>
      <c r="H12" s="21"/>
      <c r="I12" s="20"/>
      <c r="J12" s="20"/>
      <c r="K12" s="22">
        <f>SUM(K9:K11)</f>
        <v>4290000</v>
      </c>
    </row>
    <row r="13" spans="1:13" x14ac:dyDescent="0.2">
      <c r="A13" s="11" t="s">
        <v>31</v>
      </c>
      <c r="B13" s="23">
        <v>1</v>
      </c>
      <c r="C13" s="24">
        <v>600000</v>
      </c>
      <c r="D13" s="24">
        <f t="shared" ref="D13:D14" si="3">(C13*0.1)+C13</f>
        <v>660000</v>
      </c>
      <c r="E13" s="24">
        <f t="shared" ref="E13:E15" si="4">D13*B13</f>
        <v>660000</v>
      </c>
      <c r="G13" s="11" t="s">
        <v>10</v>
      </c>
      <c r="H13" s="23">
        <v>1</v>
      </c>
      <c r="I13" s="24">
        <v>4200000</v>
      </c>
      <c r="J13" s="24">
        <f>(I13*0.3)+I13</f>
        <v>5460000</v>
      </c>
      <c r="K13" s="24">
        <f t="shared" ref="K13:K15" si="5">J13*H13</f>
        <v>5460000</v>
      </c>
    </row>
    <row r="14" spans="1:13" x14ac:dyDescent="0.2">
      <c r="A14" s="11" t="s">
        <v>39</v>
      </c>
      <c r="B14" s="23">
        <v>0</v>
      </c>
      <c r="C14" s="24">
        <v>300000</v>
      </c>
      <c r="D14" s="24">
        <f t="shared" si="3"/>
        <v>330000</v>
      </c>
      <c r="E14" s="24">
        <f>D14*B14</f>
        <v>0</v>
      </c>
      <c r="G14" s="11"/>
      <c r="H14" s="23"/>
      <c r="I14" s="24"/>
      <c r="J14" s="24"/>
      <c r="K14" s="24"/>
    </row>
    <row r="15" spans="1:13" x14ac:dyDescent="0.2">
      <c r="A15" s="11" t="s">
        <v>35</v>
      </c>
      <c r="B15" s="23">
        <v>0</v>
      </c>
      <c r="C15" s="24">
        <v>1500000</v>
      </c>
      <c r="D15" s="24">
        <f t="shared" ref="D15" si="6">(C15*0.3)+C15</f>
        <v>1950000</v>
      </c>
      <c r="E15" s="24">
        <f t="shared" si="4"/>
        <v>0</v>
      </c>
      <c r="G15" s="11" t="s">
        <v>11</v>
      </c>
      <c r="H15" s="23">
        <v>1</v>
      </c>
      <c r="I15" s="24">
        <v>506450</v>
      </c>
      <c r="J15" s="24">
        <f t="shared" ref="J15" si="7">(I15*0.3)+I15</f>
        <v>658385</v>
      </c>
      <c r="K15" s="24">
        <f t="shared" si="5"/>
        <v>658385</v>
      </c>
    </row>
    <row r="16" spans="1:13" x14ac:dyDescent="0.2">
      <c r="A16" s="45" t="s">
        <v>27</v>
      </c>
      <c r="B16" s="45"/>
      <c r="C16" s="45"/>
      <c r="D16" s="45"/>
      <c r="E16" s="25">
        <f>SUM(E12:E15)</f>
        <v>2963950</v>
      </c>
      <c r="G16" s="45" t="s">
        <v>27</v>
      </c>
      <c r="H16" s="45"/>
      <c r="I16" s="45"/>
      <c r="J16" s="45"/>
      <c r="K16" s="25">
        <f>SUM(K12:K15)</f>
        <v>10408385</v>
      </c>
      <c r="M16" s="41">
        <v>0.15</v>
      </c>
    </row>
    <row r="17" spans="1:13" x14ac:dyDescent="0.2">
      <c r="A17" s="26" t="s">
        <v>28</v>
      </c>
      <c r="B17" s="27">
        <v>0.2</v>
      </c>
      <c r="C17" s="26"/>
      <c r="D17" s="26"/>
      <c r="E17" s="28">
        <f>E16/0.8</f>
        <v>3704937.5</v>
      </c>
      <c r="G17" s="26" t="s">
        <v>28</v>
      </c>
      <c r="H17" s="27">
        <v>0.15</v>
      </c>
      <c r="I17" s="26"/>
      <c r="J17" s="26"/>
      <c r="K17" s="28">
        <f>K16/0.85</f>
        <v>12245158.823529413</v>
      </c>
      <c r="M17" s="36">
        <f>E17+(E17*M16)</f>
        <v>4260678.125</v>
      </c>
    </row>
    <row r="18" spans="1:13" x14ac:dyDescent="0.2">
      <c r="A18" s="29" t="s">
        <v>29</v>
      </c>
      <c r="B18" s="30">
        <v>0.1</v>
      </c>
      <c r="C18" s="29"/>
      <c r="D18" s="29"/>
      <c r="E18" s="31">
        <f>E17/0.9</f>
        <v>4116597.222222222</v>
      </c>
      <c r="G18" s="29" t="s">
        <v>29</v>
      </c>
      <c r="H18" s="30">
        <v>0.1</v>
      </c>
      <c r="I18" s="29"/>
      <c r="J18" s="29"/>
      <c r="K18" s="31">
        <f>K17/0.9</f>
        <v>13605732.026143791</v>
      </c>
      <c r="M18" s="31">
        <f>E17/0.85</f>
        <v>4358750</v>
      </c>
    </row>
    <row r="19" spans="1:13" x14ac:dyDescent="0.2">
      <c r="M19" s="42">
        <f>M18/84</f>
        <v>51889.880952380954</v>
      </c>
    </row>
    <row r="20" spans="1:13" x14ac:dyDescent="0.2">
      <c r="D20" s="1" t="s">
        <v>50</v>
      </c>
      <c r="E20" s="5">
        <v>5000</v>
      </c>
    </row>
    <row r="21" spans="1:13" x14ac:dyDescent="0.2">
      <c r="D21" s="1" t="s">
        <v>51</v>
      </c>
      <c r="E21" s="5">
        <v>4500</v>
      </c>
    </row>
    <row r="22" spans="1:13" x14ac:dyDescent="0.2">
      <c r="D22" s="1" t="s">
        <v>52</v>
      </c>
      <c r="E22" s="5">
        <v>5500</v>
      </c>
    </row>
  </sheetData>
  <mergeCells count="8">
    <mergeCell ref="A16:D16"/>
    <mergeCell ref="G16:J16"/>
    <mergeCell ref="A5:B5"/>
    <mergeCell ref="G5:K5"/>
    <mergeCell ref="B6:E6"/>
    <mergeCell ref="H6:K6"/>
    <mergeCell ref="B7:E7"/>
    <mergeCell ref="H7:K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4b4af6-6a36-4af9-8878-8d68c28a5c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4305C6F24E264F8261008AB0A1CE9A" ma:contentTypeVersion="12" ma:contentTypeDescription="Create a new document." ma:contentTypeScope="" ma:versionID="cfb74dcc157fdaf8146d72ecc4b8c167">
  <xsd:schema xmlns:xsd="http://www.w3.org/2001/XMLSchema" xmlns:xs="http://www.w3.org/2001/XMLSchema" xmlns:p="http://schemas.microsoft.com/office/2006/metadata/properties" xmlns:ns3="c64b4af6-6a36-4af9-8878-8d68c28a5cb5" targetNamespace="http://schemas.microsoft.com/office/2006/metadata/properties" ma:root="true" ma:fieldsID="dd9b3121a1dac09b86e6d7ce24287333" ns3:_="">
    <xsd:import namespace="c64b4af6-6a36-4af9-8878-8d68c28a5c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b4af6-6a36-4af9-8878-8d68c28a5c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30A411-A940-4AE8-8F39-11CE6CF010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2CC037-ECF2-4E8C-B1B8-7F4B78DAB3F8}">
  <ds:schemaRefs>
    <ds:schemaRef ds:uri="http://schemas.microsoft.com/office/2006/metadata/properties"/>
    <ds:schemaRef ds:uri="http://schemas.microsoft.com/office/infopath/2007/PartnerControls"/>
    <ds:schemaRef ds:uri="c64b4af6-6a36-4af9-8878-8d68c28a5cb5"/>
  </ds:schemaRefs>
</ds:datastoreItem>
</file>

<file path=customXml/itemProps3.xml><?xml version="1.0" encoding="utf-8"?>
<ds:datastoreItem xmlns:ds="http://schemas.openxmlformats.org/officeDocument/2006/customXml" ds:itemID="{B084C6A5-2B9C-426E-83A0-6E8037A5A3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b4af6-6a36-4af9-8878-8d68c28a5c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 Series_PH 600 dpi </vt:lpstr>
      <vt:lpstr>C Series_PH 1200 dpi </vt:lpstr>
      <vt:lpstr>L&amp;P Series PH 600 dpi</vt:lpstr>
      <vt:lpstr>L&amp;P Series PH 1200 dpi</vt:lpstr>
      <vt:lpstr>1 Extra Colour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Suprakash Mitra</dc:creator>
  <cp:keywords/>
  <dc:description/>
  <cp:lastModifiedBy>Rishab Kohli</cp:lastModifiedBy>
  <cp:revision/>
  <dcterms:created xsi:type="dcterms:W3CDTF">2025-05-31T11:46:43Z</dcterms:created>
  <dcterms:modified xsi:type="dcterms:W3CDTF">2026-03-13T10:46:13Z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0x010100A24305C6F24E264F8261008AB0A1CE9A</vt:lpwstr>
  </property>
</Properties>
</file>